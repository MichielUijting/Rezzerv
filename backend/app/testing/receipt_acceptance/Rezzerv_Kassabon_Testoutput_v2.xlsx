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0017b40aeb31bb47/Scans/Documenten/Bureaublad/bonnen/"/>
    </mc:Choice>
  </mc:AlternateContent>
  <xr:revisionPtr revIDLastSave="19" documentId="8_{A5D0D1B8-AEF4-4D92-89F3-5CA1C0036D1C}" xr6:coauthVersionLast="47" xr6:coauthVersionMax="47" xr10:uidLastSave="{461AFB53-5123-48E2-A4D2-5C2AB0EFD519}"/>
  <bookViews>
    <workbookView xWindow="9156" yWindow="0" windowWidth="13992" windowHeight="12336" activeTab="1" xr2:uid="{00000000-000D-0000-FFFF-FFFF00000000}"/>
  </bookViews>
  <sheets>
    <sheet name="Receipts" sheetId="1" r:id="rId1"/>
    <sheet name="Receipt_Lines" sheetId="2" r:id="rId2"/>
    <sheet name="Extraction_Statu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7" i="2" l="1"/>
  <c r="M78" i="2"/>
  <c r="M79" i="2"/>
  <c r="M80" i="2"/>
  <c r="M36" i="2"/>
  <c r="M37" i="2"/>
  <c r="M38" i="2"/>
  <c r="M39" i="2"/>
  <c r="M40" i="2"/>
  <c r="M41" i="2"/>
  <c r="M42" i="2"/>
  <c r="M43" i="2"/>
  <c r="M44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163" i="2"/>
  <c r="H163" i="2" s="1"/>
  <c r="M162" i="2"/>
  <c r="H162" i="2" s="1"/>
  <c r="M155" i="2"/>
  <c r="H155" i="2" s="1"/>
  <c r="M156" i="2"/>
  <c r="H156" i="2" s="1"/>
  <c r="M157" i="2"/>
  <c r="H157" i="2" s="1"/>
  <c r="M158" i="2"/>
  <c r="H158" i="2" s="1"/>
  <c r="M159" i="2"/>
  <c r="H159" i="2" s="1"/>
  <c r="M160" i="2"/>
  <c r="H160" i="2" s="1"/>
  <c r="M161" i="2"/>
  <c r="H161" i="2" s="1"/>
  <c r="M152" i="2"/>
  <c r="M153" i="2"/>
  <c r="H153" i="2" s="1"/>
  <c r="M154" i="2"/>
  <c r="H154" i="2" s="1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36" i="2"/>
  <c r="M81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19" i="2"/>
  <c r="H119" i="2" s="1"/>
  <c r="H80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98" i="2"/>
  <c r="M99" i="2"/>
  <c r="M100" i="2"/>
  <c r="M101" i="2"/>
  <c r="M102" i="2"/>
  <c r="M97" i="2"/>
  <c r="M96" i="2"/>
  <c r="H96" i="2" s="1"/>
  <c r="H88" i="2"/>
  <c r="H89" i="2"/>
  <c r="H84" i="2"/>
  <c r="H85" i="2"/>
  <c r="H86" i="2"/>
  <c r="H87" i="2"/>
  <c r="M83" i="2"/>
  <c r="H83" i="2" s="1"/>
  <c r="M82" i="2"/>
  <c r="H82" i="2" s="1"/>
  <c r="H77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44" i="2"/>
  <c r="M33" i="2"/>
  <c r="M34" i="2"/>
  <c r="M35" i="2"/>
  <c r="I32" i="2"/>
  <c r="M32" i="2" s="1"/>
  <c r="I30" i="2"/>
  <c r="M30" i="2" s="1"/>
  <c r="I28" i="2"/>
  <c r="M28" i="2" s="1"/>
  <c r="I29" i="2"/>
  <c r="M29" i="2" s="1"/>
  <c r="I27" i="2"/>
  <c r="M27" i="2" s="1"/>
  <c r="M23" i="2"/>
  <c r="I22" i="2"/>
  <c r="M22" i="2" s="1"/>
  <c r="I13" i="2"/>
  <c r="M13" i="2" s="1"/>
  <c r="H11" i="2"/>
  <c r="M11" i="2"/>
  <c r="M10" i="2"/>
  <c r="M14" i="2"/>
  <c r="M15" i="2"/>
  <c r="M16" i="2"/>
  <c r="M17" i="2"/>
  <c r="M18" i="2"/>
  <c r="M19" i="2"/>
  <c r="M20" i="2"/>
  <c r="M21" i="2"/>
  <c r="M24" i="2"/>
  <c r="M25" i="2"/>
  <c r="M26" i="2"/>
  <c r="M31" i="2"/>
  <c r="M2" i="2"/>
  <c r="H2" i="2" s="1"/>
  <c r="M3" i="2"/>
  <c r="H3" i="2" s="1"/>
  <c r="M4" i="2"/>
  <c r="H4" i="2" s="1"/>
  <c r="M5" i="2"/>
  <c r="H5" i="2" s="1"/>
  <c r="H6" i="2"/>
  <c r="H7" i="2"/>
  <c r="H8" i="2"/>
  <c r="I9" i="2"/>
  <c r="M9" i="2" s="1"/>
  <c r="M7" i="2"/>
  <c r="M8" i="2"/>
  <c r="M6" i="2"/>
</calcChain>
</file>

<file path=xl/sharedStrings.xml><?xml version="1.0" encoding="utf-8"?>
<sst xmlns="http://schemas.openxmlformats.org/spreadsheetml/2006/main" count="998" uniqueCount="476">
  <si>
    <t>Receipt_ID</t>
  </si>
  <si>
    <t>Source_File</t>
  </si>
  <si>
    <t>Store_Name</t>
  </si>
  <si>
    <t>Store_Address</t>
  </si>
  <si>
    <t>Store_City</t>
  </si>
  <si>
    <t>Document_Type</t>
  </si>
  <si>
    <t>Purchase_Date</t>
  </si>
  <si>
    <t>Purchase_Time</t>
  </si>
  <si>
    <t>Order_or_Invoice_No</t>
  </si>
  <si>
    <t>Total_Amount</t>
  </si>
  <si>
    <t>Currency</t>
  </si>
  <si>
    <t>Notes</t>
  </si>
  <si>
    <t>Extraction_Status</t>
  </si>
  <si>
    <t>R001</t>
  </si>
  <si>
    <t>Action App 1.pdf</t>
  </si>
  <si>
    <t>Action</t>
  </si>
  <si>
    <t>Valburgseweg 16, 6661 EV Elst, Nederland</t>
  </si>
  <si>
    <t>Elst</t>
  </si>
  <si>
    <t>PDF</t>
  </si>
  <si>
    <t>2026-02-18</t>
  </si>
  <si>
    <t>13:48</t>
  </si>
  <si>
    <t>EUR</t>
  </si>
  <si>
    <t>Digitale bon; volledig uitgelezen</t>
  </si>
  <si>
    <t>Volledig</t>
  </si>
  <si>
    <t>R002</t>
  </si>
  <si>
    <t>AH App 1.pdf</t>
  </si>
  <si>
    <t>Albert Heijn</t>
  </si>
  <si>
    <t>2026-03-20</t>
  </si>
  <si>
    <t>16:27</t>
  </si>
  <si>
    <t>R003</t>
  </si>
  <si>
    <t>AH foto 1.pdf</t>
  </si>
  <si>
    <t>2026-03-14</t>
  </si>
  <si>
    <t>17:13</t>
  </si>
  <si>
    <t>Gedeeltelijk</t>
  </si>
  <si>
    <t>R004</t>
  </si>
  <si>
    <t>Gamma App 1.pdf</t>
  </si>
  <si>
    <t>Gamma</t>
  </si>
  <si>
    <t>2024-08-24</t>
  </si>
  <si>
    <t>12:21</t>
  </si>
  <si>
    <t>R005</t>
  </si>
  <si>
    <t>Gamma App 2.pdf</t>
  </si>
  <si>
    <t>2024-12-12</t>
  </si>
  <si>
    <t>16:48</t>
  </si>
  <si>
    <t>R006</t>
  </si>
  <si>
    <t>Hornbach App 1.pdf</t>
  </si>
  <si>
    <t>Hornbach Bouwmarkt (Nederland) B.V.</t>
  </si>
  <si>
    <t>Grootslag 1-5, 3991 RA Houten</t>
  </si>
  <si>
    <t>Houten</t>
  </si>
  <si>
    <t>2024-01-13</t>
  </si>
  <si>
    <t>Factuurdatum gebruikt; opdrachtdatum 2024-01-12</t>
  </si>
  <si>
    <t>R007</t>
  </si>
  <si>
    <t>Lidl App 4.pdf</t>
  </si>
  <si>
    <t>Lidl Nederland GmbH</t>
  </si>
  <si>
    <t>Havenstraat 71, 1271 AD Huizen; Postbus 198, 1270 AD Huizen</t>
  </si>
  <si>
    <t>Huizen</t>
  </si>
  <si>
    <t>2024-01-09</t>
  </si>
  <si>
    <t>Factuurdatum gebruikt; besteldatum 2024-01-05; leverdatum 2024-01-09</t>
  </si>
  <si>
    <t>R008</t>
  </si>
  <si>
    <t>Picnic App 1.eml</t>
  </si>
  <si>
    <t>Picnic B.V.</t>
  </si>
  <si>
    <t>Van Marwijk Kooystraat 15, 1114 AG Amsterdam-Duivendrecht</t>
  </si>
  <si>
    <t>Amsterdam-Duivendrecht</t>
  </si>
  <si>
    <t>EML</t>
  </si>
  <si>
    <t>2026-03-22</t>
  </si>
  <si>
    <t>Bezorgadres in mail: Via Alosta 23, 6661 JX Elst</t>
  </si>
  <si>
    <t>R009</t>
  </si>
  <si>
    <t>Bol App 1.eml</t>
  </si>
  <si>
    <t>bol</t>
  </si>
  <si>
    <t>A000A5P30C</t>
  </si>
  <si>
    <t>Adres winkel niet zichtbaar in mail</t>
  </si>
  <si>
    <t>R010</t>
  </si>
  <si>
    <t>mediamarkt foto 2.webp</t>
  </si>
  <si>
    <t>MediaMarkt Online Nederland</t>
  </si>
  <si>
    <t>Wilhelminakade 161, 3072 AP Rotterdam</t>
  </si>
  <si>
    <t>Rotterdam</t>
  </si>
  <si>
    <t>WEBP</t>
  </si>
  <si>
    <t>2021-12-10</t>
  </si>
  <si>
    <t>83665632</t>
  </si>
  <si>
    <t>Factuurnummer 1898191625</t>
  </si>
  <si>
    <t>Line_Number</t>
  </si>
  <si>
    <t>Product_Name</t>
  </si>
  <si>
    <t>Brand_or_Variant</t>
  </si>
  <si>
    <t>Quantity</t>
  </si>
  <si>
    <t>Unit_Size</t>
  </si>
  <si>
    <t>Unit_Price</t>
  </si>
  <si>
    <t>Line_Total</t>
  </si>
  <si>
    <t>Article_Code</t>
  </si>
  <si>
    <t>Barcode</t>
  </si>
  <si>
    <t>Discount_Info</t>
  </si>
  <si>
    <t>dumil bio afvalzakjes</t>
  </si>
  <si>
    <t>10 st 5 l</t>
  </si>
  <si>
    <t>Totaalregel zichtbaar; eenheidsprijs niet apart zichtbaar</t>
  </si>
  <si>
    <t>fackelmann koekenpan keramisch</t>
  </si>
  <si>
    <t>24 cm</t>
  </si>
  <si>
    <t>auto ehbo tas</t>
  </si>
  <si>
    <t>41 dlg din13164</t>
  </si>
  <si>
    <t>pure soft keukenpapier</t>
  </si>
  <si>
    <t>3-laag 4 rol 64 vel</t>
  </si>
  <si>
    <t>4 rol</t>
  </si>
  <si>
    <t>Poedersuiker</t>
  </si>
  <si>
    <t>Care inlegkr</t>
  </si>
  <si>
    <t>Productnaam afgekort in bron</t>
  </si>
  <si>
    <t>AH poffertje</t>
  </si>
  <si>
    <t>Prei</t>
  </si>
  <si>
    <t>Komkommer</t>
  </si>
  <si>
    <t>Prijs niet betrouwbaar losgetrokken</t>
  </si>
  <si>
    <t>Druiven</t>
  </si>
  <si>
    <t>kg</t>
  </si>
  <si>
    <t>Kiwi Gold</t>
  </si>
  <si>
    <t>Winterpeen</t>
  </si>
  <si>
    <t>AH grf rookv</t>
  </si>
  <si>
    <t>Naam afgekort in bron</t>
  </si>
  <si>
    <t>Volk bollen</t>
  </si>
  <si>
    <t>Waldk half</t>
  </si>
  <si>
    <t>Remia saus</t>
  </si>
  <si>
    <t>Zaans h mayo</t>
  </si>
  <si>
    <t>AH muffins</t>
  </si>
  <si>
    <t>AH bouillon</t>
  </si>
  <si>
    <t>Bouillonregels deels onzeker</t>
  </si>
  <si>
    <t>Katja snoep</t>
  </si>
  <si>
    <t>AH hv melk</t>
  </si>
  <si>
    <t>AH tortilla</t>
  </si>
  <si>
    <t>Chio chips</t>
  </si>
  <si>
    <t>AH chips</t>
  </si>
  <si>
    <t>Mogelijk totaal voor 3 stuks</t>
  </si>
  <si>
    <t>AH malbec</t>
  </si>
  <si>
    <t>Mogelijk totaal voor 2 stuks</t>
  </si>
  <si>
    <t>Tuinerwten</t>
  </si>
  <si>
    <t>Venco Schoolkrijt</t>
  </si>
  <si>
    <t>225 gr</t>
  </si>
  <si>
    <t>237198</t>
  </si>
  <si>
    <t>Meubelpaneel Zwart</t>
  </si>
  <si>
    <t>80x30 cm</t>
  </si>
  <si>
    <t>245093</t>
  </si>
  <si>
    <t>Strijkband Zwart Eiken</t>
  </si>
  <si>
    <t>245724</t>
  </si>
  <si>
    <t>SCHN. Mureva OPB. Combinatie</t>
  </si>
  <si>
    <t>131876</t>
  </si>
  <si>
    <t>Akoestisch paneel nat. oak</t>
  </si>
  <si>
    <t>280x28x1,8 cm</t>
  </si>
  <si>
    <t>st</t>
  </si>
  <si>
    <t>10692297</t>
  </si>
  <si>
    <t>Vrachtkosten</t>
  </si>
  <si>
    <t>TRONIC Powerbank</t>
  </si>
  <si>
    <t>10.000 mAh (wit)</t>
  </si>
  <si>
    <t>100364233002</t>
  </si>
  <si>
    <t>PARKSIDE Kruislijnlaser</t>
  </si>
  <si>
    <t>100349498</t>
  </si>
  <si>
    <t>SILVERCREST Bluetooth oordopjes</t>
  </si>
  <si>
    <t>(wit)</t>
  </si>
  <si>
    <t>100348301002</t>
  </si>
  <si>
    <t>TRONIC Auto-smartphonehouder</t>
  </si>
  <si>
    <t>100348089</t>
  </si>
  <si>
    <t>Verzendkosten</t>
  </si>
  <si>
    <t>'t Slagershuys rundergehakt</t>
  </si>
  <si>
    <t>300 gram</t>
  </si>
  <si>
    <t>300 g</t>
  </si>
  <si>
    <t>'t Slagershuys kiphaasjes</t>
  </si>
  <si>
    <t>Actieprijs zichtbaar; eenheidsprijs niet schoon losgetrokken</t>
  </si>
  <si>
    <t>1 stuk</t>
  </si>
  <si>
    <t>1 st</t>
  </si>
  <si>
    <t>Bosui</t>
  </si>
  <si>
    <t>1 bosje</t>
  </si>
  <si>
    <t>1 bos</t>
  </si>
  <si>
    <t>Picnic taugé</t>
  </si>
  <si>
    <t>250 gram</t>
  </si>
  <si>
    <t>250 g</t>
  </si>
  <si>
    <t>La Morena tortilla wraps naturel</t>
  </si>
  <si>
    <t>8 stuks</t>
  </si>
  <si>
    <t>8 st</t>
  </si>
  <si>
    <t>Picnic magere kwark</t>
  </si>
  <si>
    <t>500 gram</t>
  </si>
  <si>
    <t>500 g</t>
  </si>
  <si>
    <t>Picnic halfvolle melk</t>
  </si>
  <si>
    <t>2 liter</t>
  </si>
  <si>
    <t>2 L</t>
  </si>
  <si>
    <t>Bifi worstjes original</t>
  </si>
  <si>
    <t>7 stuks</t>
  </si>
  <si>
    <t>7 st</t>
  </si>
  <si>
    <t>Boerenbrood meergranen</t>
  </si>
  <si>
    <t>heel 800 g</t>
  </si>
  <si>
    <t>800 g</t>
  </si>
  <si>
    <t>Coca-Cola zero</t>
  </si>
  <si>
    <t>4 x 1,5 liter</t>
  </si>
  <si>
    <t>4 x 1.5 L</t>
  </si>
  <si>
    <t>Royal Club tonic 0%</t>
  </si>
  <si>
    <t>1 liter</t>
  </si>
  <si>
    <t>1 L</t>
  </si>
  <si>
    <t>Royal Club ginger ale 0%</t>
  </si>
  <si>
    <t>Picnic vers sap sinaasappel</t>
  </si>
  <si>
    <t>1000 ml</t>
  </si>
  <si>
    <t>Santa Maria taco shells</t>
  </si>
  <si>
    <t>12 stuks</t>
  </si>
  <si>
    <t>12 st</t>
  </si>
  <si>
    <t>Totaalprijs niet schoon losgetrokken</t>
  </si>
  <si>
    <t>Santa Maria taco seasoning mix</t>
  </si>
  <si>
    <t>28 gram</t>
  </si>
  <si>
    <t>28 g</t>
  </si>
  <si>
    <t>Prijs zat in actiecombinatie</t>
  </si>
  <si>
    <t>Mexicaanse roerbakgroenten</t>
  </si>
  <si>
    <t>400 gram</t>
  </si>
  <si>
    <t>400 g</t>
  </si>
  <si>
    <t>Picnic crème fraîche</t>
  </si>
  <si>
    <t>200 gram</t>
  </si>
  <si>
    <t>200 g</t>
  </si>
  <si>
    <t>Picnic geraspte belegen kaas 48+</t>
  </si>
  <si>
    <t>175 gram</t>
  </si>
  <si>
    <t>175 g</t>
  </si>
  <si>
    <t>Picnic bio tomatenblokjes</t>
  </si>
  <si>
    <t>'t Slagershuys gemengd gehakt</t>
  </si>
  <si>
    <t>Picnic ijsbergsla</t>
  </si>
  <si>
    <t>Picnic boerenkool fijngesneden</t>
  </si>
  <si>
    <t>Kortingsprijs</t>
  </si>
  <si>
    <t>Knorr jachtsaus mix</t>
  </si>
  <si>
    <t>27 gram</t>
  </si>
  <si>
    <t>27 g</t>
  </si>
  <si>
    <t>Totaal voor 3 stuks</t>
  </si>
  <si>
    <t>'t Slagershuys rookworst fijn</t>
  </si>
  <si>
    <t>8 x 250 ml</t>
  </si>
  <si>
    <t>Picnic toiletpapier 3 laags</t>
  </si>
  <si>
    <t>9 stuks</t>
  </si>
  <si>
    <t>9 st</t>
  </si>
  <si>
    <t>De Ruijter hagelslag melk</t>
  </si>
  <si>
    <t>390 gram</t>
  </si>
  <si>
    <t>390 g</t>
  </si>
  <si>
    <t>Melkunie Breaker perzik met zonnebloempitten</t>
  </si>
  <si>
    <t>Zuivelhoeve boerenyoghurt bosvruchten</t>
  </si>
  <si>
    <t>750 gram</t>
  </si>
  <si>
    <t>750 g</t>
  </si>
  <si>
    <t>Totaal voor 2 stuks</t>
  </si>
  <si>
    <t>Picnic suikerwafels naturel</t>
  </si>
  <si>
    <t>10 stuks</t>
  </si>
  <si>
    <t>10 st</t>
  </si>
  <si>
    <t>Stamppot aardappelen</t>
  </si>
  <si>
    <t>1 kilo</t>
  </si>
  <si>
    <t>1 kg</t>
  </si>
  <si>
    <t>Picnic halfvolle melk houdbaar</t>
  </si>
  <si>
    <t>Totaal voor 6 stuks</t>
  </si>
  <si>
    <t>BLACK+DECKER BEBL185-QS Bladblazer</t>
  </si>
  <si>
    <t>1850W - 225 km/h - gesnoerd</t>
  </si>
  <si>
    <t>APPLE MacBook Pro 13.3 (2020)</t>
  </si>
  <si>
    <t>Zilver M1 256GB 8GB</t>
  </si>
  <si>
    <t>Processing_Status</t>
  </si>
  <si>
    <t>Uitleg</t>
  </si>
  <si>
    <t>Jumbo foto 1.jpeg</t>
  </si>
  <si>
    <t>Nog niet volledig uitgelezen</t>
  </si>
  <si>
    <t>Fotobon; later handmatig uitwerken</t>
  </si>
  <si>
    <t>Deze werkmap is een handmatig opgestelde referentie-output voor latere parservergelijking.</t>
  </si>
  <si>
    <t>Jumbo foto 2.jpeg</t>
  </si>
  <si>
    <t>Volledig = redelijk betrouwbaar uitgelezen; Gedeeltelijk = nog handmatige controle nodig.</t>
  </si>
  <si>
    <t>Jumbo foto 3.jpeg</t>
  </si>
  <si>
    <t>Aldi foto 1.jpg</t>
  </si>
  <si>
    <t>Aldi foto 2.jpg</t>
  </si>
  <si>
    <t>Plus foto 1.jpg</t>
  </si>
  <si>
    <t>AH foto 2.pdf</t>
  </si>
  <si>
    <t>Fotobon/PDF; later handmatig uitwerken</t>
  </si>
  <si>
    <t>AH foto 3.pdf</t>
  </si>
  <si>
    <t>Lidl App 1.png</t>
  </si>
  <si>
    <t>Afbeelding; later handmatig uitwerken</t>
  </si>
  <si>
    <t>Lidl App 2.png</t>
  </si>
  <si>
    <t>Lidl App 3.png</t>
  </si>
  <si>
    <t>coolblue App 1.webp</t>
  </si>
  <si>
    <t>Webp; later handmatig uitwerken</t>
  </si>
  <si>
    <t>coolblue App 2.webp</t>
  </si>
  <si>
    <t>coolblue App 3.webp</t>
  </si>
  <si>
    <t>coolblue App 4.webp</t>
  </si>
  <si>
    <t>Karwei App 1.pdf</t>
  </si>
  <si>
    <t>PDF; later handmatig uitwerken</t>
  </si>
  <si>
    <t>mediamarkt foto 1.webp</t>
  </si>
  <si>
    <t>6665CN DRIEL</t>
  </si>
  <si>
    <t>Polenplein 24 A</t>
  </si>
  <si>
    <t>Netto prijs</t>
  </si>
  <si>
    <t>Koopzegels Premium</t>
  </si>
  <si>
    <t>AH</t>
  </si>
  <si>
    <t>Koopzegels toevoegen als artikelen</t>
  </si>
  <si>
    <t>Adres is gecodeerd met 8521</t>
  </si>
  <si>
    <t>Adres is gecodeerd met 8770</t>
  </si>
  <si>
    <t>Valburgseweg 20</t>
  </si>
  <si>
    <t>FVFG81DAQ05G</t>
  </si>
  <si>
    <t>R011</t>
  </si>
  <si>
    <t>AH foto 2.jpeg</t>
  </si>
  <si>
    <t>Polenplein 24a</t>
  </si>
  <si>
    <t>JPEG</t>
  </si>
  <si>
    <t>2026-03-26</t>
  </si>
  <si>
    <t>15:18</t>
  </si>
  <si>
    <t>Fotobon; totaal en 2 artikelregels betrouwbaar leesbaar</t>
  </si>
  <si>
    <t>R012</t>
  </si>
  <si>
    <t>ALDI</t>
  </si>
  <si>
    <t>Prins Frederiklaan 203</t>
  </si>
  <si>
    <t>JPG</t>
  </si>
  <si>
    <t>2022-09-26</t>
  </si>
  <si>
    <t>08:20</t>
  </si>
  <si>
    <t>Fotobon; 4 artikelregels betrouwbaar leesbaar</t>
  </si>
  <si>
    <t>R013</t>
  </si>
  <si>
    <t>Winschoten</t>
  </si>
  <si>
    <t>2019-02-23</t>
  </si>
  <si>
    <t>19:21</t>
  </si>
  <si>
    <t>Fotobon; slechts deel van bon leesbaar, minimaal 2 artikelregels zichtbaar</t>
  </si>
  <si>
    <t>R014</t>
  </si>
  <si>
    <t>plus foto 1.jpg</t>
  </si>
  <si>
    <t>PLUS</t>
  </si>
  <si>
    <t>2019-01-04</t>
  </si>
  <si>
    <t>19:40</t>
  </si>
  <si>
    <t>Fotobon; meerdere regels OCR-onzeker, totaal leesbaar</t>
  </si>
  <si>
    <t>R015</t>
  </si>
  <si>
    <t>Jumbo Supermarkten</t>
  </si>
  <si>
    <t>Basilica 19, 6661 TT Elst</t>
  </si>
  <si>
    <t>2024-05-21</t>
  </si>
  <si>
    <t>14:58</t>
  </si>
  <si>
    <t>Fotobon; deel van artikelregels leesbaar, korting zichtbaar</t>
  </si>
  <si>
    <t>R016</t>
  </si>
  <si>
    <t>Jumbo Heteren Teun van Blijderveen</t>
  </si>
  <si>
    <t>Beemdhof 38, 6666 DL Heteren</t>
  </si>
  <si>
    <t>Heteren</t>
  </si>
  <si>
    <t>PNG</t>
  </si>
  <si>
    <t>2026-03-24</t>
  </si>
  <si>
    <t>12:36</t>
  </si>
  <si>
    <t>Fotobon; veel artikelregels leesbaar, incl. Jumbo Extra's</t>
  </si>
  <si>
    <t>R017</t>
  </si>
  <si>
    <t>Jumbo foto 3.jpg</t>
  </si>
  <si>
    <t>Jumbo Oude Pekela</t>
  </si>
  <si>
    <t>Oude Pekela</t>
  </si>
  <si>
    <t>2020-05-08</t>
  </si>
  <si>
    <t>10:20</t>
  </si>
  <si>
    <t>Fotobon; alleen footer en punteninformatie leesbaar, artikelregels niet betrouwbaar</t>
  </si>
  <si>
    <t>R018</t>
  </si>
  <si>
    <t>Lidl Arnhem</t>
  </si>
  <si>
    <t>Elderveldplein 5, 6843 JA Arnhem</t>
  </si>
  <si>
    <t>Arnhem</t>
  </si>
  <si>
    <t>2025-12-16</t>
  </si>
  <si>
    <t>13:37</t>
  </si>
  <si>
    <t>Digitale bon; Lidl Plus-korting zichtbaar</t>
  </si>
  <si>
    <t>R019</t>
  </si>
  <si>
    <t>Fortunastraat 44, 6846 XZ Arnhem</t>
  </si>
  <si>
    <t>2025-11-25</t>
  </si>
  <si>
    <t>12:37</t>
  </si>
  <si>
    <t>Digitale bon; gewogen product en Lidl Plus-korting zichtbaar</t>
  </si>
  <si>
    <t>R021</t>
  </si>
  <si>
    <t>Coolblue B.V.</t>
  </si>
  <si>
    <t>Weena, 3012 CN Rotterdam</t>
  </si>
  <si>
    <t>2025-01-10</t>
  </si>
  <si>
    <t>38621459</t>
  </si>
  <si>
    <t>Factuur; monitor plus verzendkosten</t>
  </si>
  <si>
    <t>R022</t>
  </si>
  <si>
    <t>2025-08-10</t>
  </si>
  <si>
    <t>90865948</t>
  </si>
  <si>
    <t>Factuur; Osmo Action 5 Pro Adventure Combo</t>
  </si>
  <si>
    <t>R025</t>
  </si>
  <si>
    <t>karwei App 1.webp</t>
  </si>
  <si>
    <t>KARWEI Bussum</t>
  </si>
  <si>
    <t>De Nieuwe Vaart 4 18, 1401 GP Bussum</t>
  </si>
  <si>
    <t>Bussum</t>
  </si>
  <si>
    <t>2024-02-26</t>
  </si>
  <si>
    <t>08:44</t>
  </si>
  <si>
    <t>24022609440002460896</t>
  </si>
  <si>
    <t>Digitale bon; meerdere artikelcodes en korting zichtbaar</t>
  </si>
  <si>
    <t>R026</t>
  </si>
  <si>
    <t>mediamarkt foto 1.jpg</t>
  </si>
  <si>
    <t>R027</t>
  </si>
  <si>
    <t>AH foto 3.jpg</t>
  </si>
  <si>
    <t>Fotobon; OCR onvoldoende voor betrouwbare extractie</t>
  </si>
  <si>
    <t>AH M gehakt</t>
  </si>
  <si>
    <t>Soepgr basis</t>
  </si>
  <si>
    <t>Goudse kaas gesneden jong</t>
  </si>
  <si>
    <t>480 g</t>
  </si>
  <si>
    <t>Waddenbollen</t>
  </si>
  <si>
    <t>Chocopops / choco shells</t>
  </si>
  <si>
    <t>7-granen ontbijt</t>
  </si>
  <si>
    <t>Melkchocolade</t>
  </si>
  <si>
    <t>Aardappelschijfje spek-ui</t>
  </si>
  <si>
    <t>Romige kwark kaneel</t>
  </si>
  <si>
    <t>Romige kwark wit choc</t>
  </si>
  <si>
    <t>Strawberry schnitte</t>
  </si>
  <si>
    <t>Wereldgerecht teriyake</t>
  </si>
  <si>
    <t>Bonenmix</t>
  </si>
  <si>
    <t>Cashewnoten ongezout</t>
  </si>
  <si>
    <t>Kastanje champignons</t>
  </si>
  <si>
    <t>Bio rode biet vacuum</t>
  </si>
  <si>
    <t>Courgette</t>
  </si>
  <si>
    <t>Jumbo risotto arborio</t>
  </si>
  <si>
    <t>Aspergesoep</t>
  </si>
  <si>
    <t>Remia mosterdsaus</t>
  </si>
  <si>
    <t>Jumbo Passata Rust.</t>
  </si>
  <si>
    <t>Kipdij reepje</t>
  </si>
  <si>
    <t>Conimex kroepoek Bali</t>
  </si>
  <si>
    <t>Jumbo kroepoek cassave</t>
  </si>
  <si>
    <t>Chorizo ring</t>
  </si>
  <si>
    <t>Knorr jachtsaus</t>
  </si>
  <si>
    <t>Halfvolle melk 1.0L</t>
  </si>
  <si>
    <t>1.0L</t>
  </si>
  <si>
    <t>Jumbo paprikamix</t>
  </si>
  <si>
    <t>Hartig Itali. kruide</t>
  </si>
  <si>
    <t>Jumbo rooibos mango</t>
  </si>
  <si>
    <t>Lemondor limoensap</t>
  </si>
  <si>
    <t>Lassie paella rijst</t>
  </si>
  <si>
    <t>Broccoli</t>
  </si>
  <si>
    <t>Espresso D Oro</t>
  </si>
  <si>
    <t>Koopzegel digitaal</t>
  </si>
  <si>
    <t>Jonge bladsla</t>
  </si>
  <si>
    <t>Veldsla</t>
  </si>
  <si>
    <t>Spekreepjes</t>
  </si>
  <si>
    <t>Gebronsde pasta linguine</t>
  </si>
  <si>
    <t>Mozzarella geraspt</t>
  </si>
  <si>
    <t>Runderchipolata</t>
  </si>
  <si>
    <t>Rundersaucijzen</t>
  </si>
  <si>
    <t>Geraspte kaas</t>
  </si>
  <si>
    <t>Kipdijfilet blokjes</t>
  </si>
  <si>
    <t>Maaltijdsauzen SK7</t>
  </si>
  <si>
    <t>Tomatenpuree gecon.</t>
  </si>
  <si>
    <t>Italiaanse rasp kaas</t>
  </si>
  <si>
    <t>Lasagnebladen 500g</t>
  </si>
  <si>
    <t>Tomatens. met basil.</t>
  </si>
  <si>
    <t>Peterselie bos</t>
  </si>
  <si>
    <t>Courgette groen</t>
  </si>
  <si>
    <t>Aardappel zoet</t>
  </si>
  <si>
    <t>1,224 kg</t>
  </si>
  <si>
    <t>Tortilla chips XXL</t>
  </si>
  <si>
    <t>Knorr CaS Ch. tomaat</t>
  </si>
  <si>
    <t>Knorr CaS kip</t>
  </si>
  <si>
    <t>Mexicaanse kruiden</t>
  </si>
  <si>
    <t>Verse halfvolle melk</t>
  </si>
  <si>
    <t>Gouda belegen gerasp</t>
  </si>
  <si>
    <t>Slagersleverworst</t>
  </si>
  <si>
    <t>Kidneybonen</t>
  </si>
  <si>
    <t>Snacktomaten</t>
  </si>
  <si>
    <t>Duurzame basmati rijst</t>
  </si>
  <si>
    <t>Créme fraiche 30%</t>
  </si>
  <si>
    <t>Tomatenblokjes</t>
  </si>
  <si>
    <t>Mexicaanse kruidenmix</t>
  </si>
  <si>
    <t>Taco saus</t>
  </si>
  <si>
    <t>AOC C27G1</t>
  </si>
  <si>
    <t>monitor</t>
  </si>
  <si>
    <t>Osmo Action 5 Pro Adventure Combo</t>
  </si>
  <si>
    <t>Schuurpapier KARWEI oude verf 180</t>
  </si>
  <si>
    <t>559099</t>
  </si>
  <si>
    <t>Schuurpapier KARWEI tussenlagen K150</t>
  </si>
  <si>
    <t>559694</t>
  </si>
  <si>
    <t>Schuurpapier KARWEI na gronden K240</t>
  </si>
  <si>
    <t>859701</t>
  </si>
  <si>
    <t>WD-40 multluse smart straw 400ml</t>
  </si>
  <si>
    <t>400 ml</t>
  </si>
  <si>
    <t>222272</t>
  </si>
  <si>
    <t>Nemef cilinder nikkel 2020618 2st</t>
  </si>
  <si>
    <t>2 st</t>
  </si>
  <si>
    <t>202262</t>
  </si>
  <si>
    <t>Sticker verwijderaar KARWEI 250ml</t>
  </si>
  <si>
    <t>250 ml</t>
  </si>
  <si>
    <t>508061</t>
  </si>
  <si>
    <t>Gedeeltelijk uitgelezen</t>
  </si>
  <si>
    <t>Totaal en meerdere artikelregels toegevoegd aan referentie-output</t>
  </si>
  <si>
    <t>Volledig uitgelezen</t>
  </si>
  <si>
    <t>Bon inhoud grotendeels betrouwbaar uitgelezen</t>
  </si>
  <si>
    <t>Footer/punten zichtbaar; artikelregels onvoldoende leesbaar</t>
  </si>
  <si>
    <t>Vier artikelregels en totaal toegevoegd</t>
  </si>
  <si>
    <t>Alleen deel van bon leesbaar; minimale regels toegevoegd</t>
  </si>
  <si>
    <t>Totaal en meerdere OCR-onzekere regels toegevoegd</t>
  </si>
  <si>
    <t>Totaal en 2 artikelregels toegevoegd</t>
  </si>
  <si>
    <t>OCR onvoldoende voor betrouwbare extractie</t>
  </si>
  <si>
    <t>Digitale bon volledig toegevoegd</t>
  </si>
  <si>
    <t>Digitale bon volledig toegevoegd; zelfde inhoud als App 2</t>
  </si>
  <si>
    <t>Factuur toegevoegd</t>
  </si>
  <si>
    <t>Digitale bon toegevoegd</t>
  </si>
  <si>
    <t>Alleen winkelkop leesbaar; later handmatig uitwerken</t>
  </si>
  <si>
    <t>Venne 132</t>
  </si>
  <si>
    <t>Groningen</t>
  </si>
  <si>
    <t>Oosterhamriklaan 263</t>
  </si>
  <si>
    <t>Kipblokje Dijfil 350</t>
  </si>
  <si>
    <t>Jumbo App 2.png</t>
  </si>
  <si>
    <t>Jumbo App 1.png</t>
  </si>
  <si>
    <t>Jumbo app 1.png</t>
  </si>
  <si>
    <t>De Helling 16</t>
  </si>
  <si>
    <t>Jumbo stroopwafels</t>
  </si>
  <si>
    <t>Station Groningen</t>
  </si>
  <si>
    <t>AH foto 3.jpeg</t>
  </si>
  <si>
    <t>Chaudf water</t>
  </si>
  <si>
    <t>AH Sandwich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</si>
</sst>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€&quot;\ * #,##0.00_ ;_ &quot;€&quot;\ * \-#,##0.00_ ;_ &quot;€&quot;\ * &quot;-&quot;??_ ;_ @_ "/>
    <numFmt numFmtId="164" formatCode="\€\ #,##0.0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0B050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93C47D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0" fillId="3" borderId="1" xfId="0" applyFill="1" applyBorder="1"/>
    <xf numFmtId="44" fontId="3" fillId="2" borderId="1" xfId="1" applyFont="1" applyFill="1" applyBorder="1" applyAlignment="1">
      <alignment horizontal="center" vertical="center"/>
    </xf>
    <xf numFmtId="44" fontId="0" fillId="0" borderId="1" xfId="1" applyFont="1" applyBorder="1"/>
    <xf numFmtId="44" fontId="0" fillId="0" borderId="0" xfId="1" applyFont="1"/>
    <xf numFmtId="0" fontId="0" fillId="4" borderId="1" xfId="0" applyFill="1" applyBorder="1"/>
    <xf numFmtId="14" fontId="0" fillId="0" borderId="1" xfId="0" applyNumberFormat="1" applyBorder="1"/>
    <xf numFmtId="20" fontId="0" fillId="0" borderId="1" xfId="0" applyNumberFormat="1" applyBorder="1"/>
    <xf numFmtId="0" fontId="0" fillId="3" borderId="0" xfId="0" applyFill="1"/>
    <xf numFmtId="164" fontId="0" fillId="0" borderId="0" xfId="0" applyNumberFormat="1"/>
    <xf numFmtId="164" fontId="0" fillId="0" borderId="0" xfId="0" applyNumberFormat="1" applyBorder="1"/>
    <xf numFmtId="44" fontId="0" fillId="0" borderId="0" xfId="1" applyFont="1" applyBorder="1"/>
    <xf numFmtId="0" fontId="0" fillId="0" borderId="0" xfId="0" applyBorder="1"/>
    <xf numFmtId="0" fontId="0" fillId="3" borderId="0" xfId="0" applyFill="1" applyBorder="1"/>
  </cellXfs>
  <cellStyles count="2">
    <cellStyle name="Standaard" xfId="0" builtinId="0"/>
    <cellStyle name="Valuta" xfId="1" builtinId="4"/>
  </cellStyles>
  <dxfs count="3">
    <dxf>
      <fill>
        <patternFill patternType="solid">
          <fgColor indexed="64"/>
          <bgColor rgb="FF00B050"/>
        </patternFill>
      </fill>
    </dxf>
    <dxf>
      <border diagonalUp="0" diagonalDown="0">
        <left/>
        <right/>
        <top/>
        <bottom style="thin">
          <color rgb="FF93C47D"/>
        </bottom>
        <vertical/>
        <horizontal/>
      </border>
    </dxf>
    <dxf>
      <numFmt numFmtId="164" formatCode="\€\ #,##0.00"/>
      <border diagonalUp="0" diagonalDown="0">
        <left/>
        <right/>
        <top/>
        <bottom style="thin">
          <color rgb="FF93C47D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Receipts" displayName="tbl_Receipts" ref="A1:M11">
  <autoFilter ref="A1:M11" xr:uid="{00000000-0009-0000-0100-000001000000}"/>
  <tableColumns count="13">
    <tableColumn id="1" xr3:uid="{00000000-0010-0000-0000-000001000000}" name="Receipt_ID"/>
    <tableColumn id="2" xr3:uid="{00000000-0010-0000-0000-000002000000}" name="Source_File" dataDxfId="0"/>
    <tableColumn id="3" xr3:uid="{00000000-0010-0000-0000-000003000000}" name="Store_Name"/>
    <tableColumn id="4" xr3:uid="{00000000-0010-0000-0000-000004000000}" name="Store_Address"/>
    <tableColumn id="5" xr3:uid="{00000000-0010-0000-0000-000005000000}" name="Store_City"/>
    <tableColumn id="6" xr3:uid="{00000000-0010-0000-0000-000006000000}" name="Document_Type"/>
    <tableColumn id="7" xr3:uid="{00000000-0010-0000-0000-000007000000}" name="Purchase_Date"/>
    <tableColumn id="8" xr3:uid="{00000000-0010-0000-0000-000008000000}" name="Purchase_Time"/>
    <tableColumn id="9" xr3:uid="{00000000-0010-0000-0000-000009000000}" name="Order_or_Invoice_No"/>
    <tableColumn id="10" xr3:uid="{00000000-0010-0000-0000-00000A000000}" name="Total_Amount"/>
    <tableColumn id="12" xr3:uid="{00000000-0010-0000-0000-00000C000000}" name="Currency"/>
    <tableColumn id="13" xr3:uid="{00000000-0010-0000-0000-00000D000000}" name="Notes"/>
    <tableColumn id="14" xr3:uid="{00000000-0010-0000-0000-00000E000000}" name="Extraction_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ReceiptLines" displayName="tbl_ReceiptLines" ref="A1:N163">
  <autoFilter ref="A1:N163" xr:uid="{00000000-0009-0000-0100-000002000000}"/>
  <tableColumns count="14">
    <tableColumn id="1" xr3:uid="{00000000-0010-0000-0100-000001000000}" name="Receipt_ID"/>
    <tableColumn id="2" xr3:uid="{00000000-0010-0000-0100-000002000000}" name="Source_File"/>
    <tableColumn id="3" xr3:uid="{00000000-0010-0000-0100-000003000000}" name="Line_Number"/>
    <tableColumn id="4" xr3:uid="{00000000-0010-0000-0100-000004000000}" name="Product_Name"/>
    <tableColumn id="5" xr3:uid="{00000000-0010-0000-0100-000005000000}" name="Brand_or_Variant"/>
    <tableColumn id="6" xr3:uid="{00000000-0010-0000-0100-000006000000}" name="Quantity"/>
    <tableColumn id="7" xr3:uid="{00000000-0010-0000-0100-000007000000}" name="Unit_Size"/>
    <tableColumn id="8" xr3:uid="{00000000-0010-0000-0100-000008000000}" name="Unit_Price"/>
    <tableColumn id="9" xr3:uid="{00000000-0010-0000-0100-000009000000}" name="Line_Total"/>
    <tableColumn id="10" xr3:uid="{00000000-0010-0000-0100-00000A000000}" name="Article_Code"/>
    <tableColumn id="11" xr3:uid="{00000000-0010-0000-0100-00000B000000}" name="Barcode"/>
    <tableColumn id="12" xr3:uid="{00000000-0010-0000-0100-00000C000000}" name="Discount_Info" dataDxfId="2"/>
    <tableColumn id="15" xr3:uid="{F6CB591C-8088-4A6D-8B1E-EE4A4084C3C9}" name="Netto prijs" dataDxfId="1" dataCellStyle="Valuta"/>
    <tableColumn id="14" xr3:uid="{00000000-0010-0000-0100-00000E000000}" name="Notes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ExtractionStatus" displayName="tbl_ExtractionStatus" ref="A1:C18">
  <autoFilter ref="A1:C18" xr:uid="{00000000-0009-0000-0100-000003000000}"/>
  <tableColumns count="3">
    <tableColumn id="1" xr3:uid="{00000000-0010-0000-0200-000001000000}" name="Source_File"/>
    <tableColumn id="2" xr3:uid="{00000000-0010-0000-0200-000002000000}" name="Processing_Status"/>
    <tableColumn id="3" xr3:uid="{00000000-0010-0000-0200-000003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workbookViewId="0">
      <pane ySplit="1" topLeftCell="A2" activePane="bottomLeft" state="frozen"/>
      <selection pane="bottomLeft" activeCell="A24" sqref="A24"/>
    </sheetView>
  </sheetViews>
  <sheetFormatPr defaultRowHeight="14.4" x14ac:dyDescent="0.3"/>
  <cols>
    <col min="1" max="1" width="10" customWidth="1"/>
    <col min="2" max="2" width="22" customWidth="1"/>
    <col min="3" max="3" width="24" customWidth="1"/>
    <col min="4" max="4" width="42" customWidth="1"/>
    <col min="5" max="5" width="20" customWidth="1"/>
    <col min="6" max="7" width="14" customWidth="1"/>
    <col min="8" max="8" width="10" customWidth="1"/>
    <col min="9" max="9" width="18" customWidth="1"/>
    <col min="10" max="10" width="14" customWidth="1"/>
    <col min="11" max="11" width="10" customWidth="1"/>
    <col min="12" max="12" width="38" customWidth="1"/>
    <col min="13" max="13" width="14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3" t="s">
        <v>13</v>
      </c>
      <c r="B2" s="5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/>
      <c r="J2" s="4">
        <v>17.79</v>
      </c>
      <c r="K2" s="3" t="s">
        <v>21</v>
      </c>
      <c r="L2" s="3" t="s">
        <v>22</v>
      </c>
      <c r="M2" s="3" t="s">
        <v>23</v>
      </c>
    </row>
    <row r="3" spans="1:13" x14ac:dyDescent="0.3">
      <c r="A3" s="3" t="s">
        <v>24</v>
      </c>
      <c r="B3" s="5" t="s">
        <v>25</v>
      </c>
      <c r="C3" s="3" t="s">
        <v>26</v>
      </c>
      <c r="D3" s="3" t="s">
        <v>270</v>
      </c>
      <c r="E3" s="3" t="s">
        <v>269</v>
      </c>
      <c r="F3" s="3" t="s">
        <v>18</v>
      </c>
      <c r="G3" s="3" t="s">
        <v>27</v>
      </c>
      <c r="H3" s="3" t="s">
        <v>28</v>
      </c>
      <c r="I3" s="3"/>
      <c r="J3" s="4">
        <v>5.0199999999999996</v>
      </c>
      <c r="K3" s="3" t="s">
        <v>21</v>
      </c>
      <c r="L3" s="3" t="s">
        <v>275</v>
      </c>
      <c r="M3" s="3" t="s">
        <v>23</v>
      </c>
    </row>
    <row r="4" spans="1:13" x14ac:dyDescent="0.3">
      <c r="A4" s="3" t="s">
        <v>29</v>
      </c>
      <c r="B4" s="5" t="s">
        <v>30</v>
      </c>
      <c r="C4" s="3" t="s">
        <v>26</v>
      </c>
      <c r="D4" s="3" t="s">
        <v>277</v>
      </c>
      <c r="E4" s="3" t="s">
        <v>17</v>
      </c>
      <c r="F4" s="3" t="s">
        <v>18</v>
      </c>
      <c r="G4" s="3" t="s">
        <v>31</v>
      </c>
      <c r="H4" s="3" t="s">
        <v>32</v>
      </c>
      <c r="I4" s="3"/>
      <c r="J4" s="4">
        <v>49.27</v>
      </c>
      <c r="K4" s="3" t="s">
        <v>21</v>
      </c>
      <c r="L4" s="3" t="s">
        <v>276</v>
      </c>
      <c r="M4" s="3" t="s">
        <v>33</v>
      </c>
    </row>
    <row r="5" spans="1:13" x14ac:dyDescent="0.3">
      <c r="A5" s="3" t="s">
        <v>34</v>
      </c>
      <c r="B5" s="5" t="s">
        <v>35</v>
      </c>
      <c r="C5" s="3" t="s">
        <v>36</v>
      </c>
      <c r="D5" s="3"/>
      <c r="E5" s="3"/>
      <c r="F5" s="3" t="s">
        <v>18</v>
      </c>
      <c r="G5" s="3" t="s">
        <v>37</v>
      </c>
      <c r="H5" s="3" t="s">
        <v>38</v>
      </c>
      <c r="I5" s="3"/>
      <c r="J5" s="4">
        <v>17.97</v>
      </c>
      <c r="K5" s="3" t="s">
        <v>21</v>
      </c>
      <c r="L5" s="3" t="s">
        <v>22</v>
      </c>
      <c r="M5" s="3" t="s">
        <v>23</v>
      </c>
    </row>
    <row r="6" spans="1:13" x14ac:dyDescent="0.3">
      <c r="A6" s="3" t="s">
        <v>39</v>
      </c>
      <c r="B6" s="5" t="s">
        <v>40</v>
      </c>
      <c r="C6" s="3" t="s">
        <v>36</v>
      </c>
      <c r="D6" s="3"/>
      <c r="E6" s="3"/>
      <c r="F6" s="3" t="s">
        <v>18</v>
      </c>
      <c r="G6" s="3" t="s">
        <v>41</v>
      </c>
      <c r="H6" s="3" t="s">
        <v>42</v>
      </c>
      <c r="I6" s="3"/>
      <c r="J6" s="4">
        <v>23.19</v>
      </c>
      <c r="K6" s="3" t="s">
        <v>21</v>
      </c>
      <c r="L6" s="3" t="s">
        <v>22</v>
      </c>
      <c r="M6" s="3" t="s">
        <v>23</v>
      </c>
    </row>
    <row r="7" spans="1:13" x14ac:dyDescent="0.3">
      <c r="A7" s="3" t="s">
        <v>43</v>
      </c>
      <c r="B7" s="5" t="s">
        <v>44</v>
      </c>
      <c r="C7" s="3" t="s">
        <v>45</v>
      </c>
      <c r="D7" s="3" t="s">
        <v>46</v>
      </c>
      <c r="E7" s="3" t="s">
        <v>47</v>
      </c>
      <c r="F7" s="3" t="s">
        <v>18</v>
      </c>
      <c r="G7" s="3" t="s">
        <v>48</v>
      </c>
      <c r="H7" s="3"/>
      <c r="I7" s="3"/>
      <c r="J7" s="4">
        <v>288.5</v>
      </c>
      <c r="K7" s="3" t="s">
        <v>21</v>
      </c>
      <c r="L7" s="3" t="s">
        <v>49</v>
      </c>
      <c r="M7" s="3" t="s">
        <v>23</v>
      </c>
    </row>
    <row r="8" spans="1:13" x14ac:dyDescent="0.3">
      <c r="A8" s="3" t="s">
        <v>50</v>
      </c>
      <c r="B8" s="5" t="s">
        <v>51</v>
      </c>
      <c r="C8" s="3" t="s">
        <v>52</v>
      </c>
      <c r="D8" s="3" t="s">
        <v>53</v>
      </c>
      <c r="E8" s="3" t="s">
        <v>54</v>
      </c>
      <c r="F8" s="3" t="s">
        <v>18</v>
      </c>
      <c r="G8" s="3" t="s">
        <v>55</v>
      </c>
      <c r="H8" s="3"/>
      <c r="I8" s="3"/>
      <c r="J8" s="4">
        <v>83.95</v>
      </c>
      <c r="K8" s="3" t="s">
        <v>21</v>
      </c>
      <c r="L8" s="3" t="s">
        <v>56</v>
      </c>
      <c r="M8" s="3" t="s">
        <v>23</v>
      </c>
    </row>
    <row r="9" spans="1:13" x14ac:dyDescent="0.3">
      <c r="A9" s="3" t="s">
        <v>57</v>
      </c>
      <c r="B9" s="5" t="s">
        <v>58</v>
      </c>
      <c r="C9" s="3" t="s">
        <v>59</v>
      </c>
      <c r="D9" s="3" t="s">
        <v>60</v>
      </c>
      <c r="E9" s="3" t="s">
        <v>61</v>
      </c>
      <c r="F9" s="3" t="s">
        <v>62</v>
      </c>
      <c r="G9" s="3" t="s">
        <v>63</v>
      </c>
      <c r="H9" s="3"/>
      <c r="I9" s="3"/>
      <c r="J9" s="4">
        <v>104.95</v>
      </c>
      <c r="K9" s="3" t="s">
        <v>21</v>
      </c>
      <c r="L9" s="3" t="s">
        <v>64</v>
      </c>
      <c r="M9" s="3" t="s">
        <v>33</v>
      </c>
    </row>
    <row r="10" spans="1:13" x14ac:dyDescent="0.3">
      <c r="A10" s="3" t="s">
        <v>65</v>
      </c>
      <c r="B10" s="5" t="s">
        <v>66</v>
      </c>
      <c r="C10" s="3" t="s">
        <v>67</v>
      </c>
      <c r="D10" s="3"/>
      <c r="E10" s="3"/>
      <c r="F10" s="3" t="s">
        <v>62</v>
      </c>
      <c r="G10" s="3"/>
      <c r="H10" s="3"/>
      <c r="I10" s="3" t="s">
        <v>68</v>
      </c>
      <c r="J10" s="4">
        <v>65</v>
      </c>
      <c r="K10" s="3" t="s">
        <v>21</v>
      </c>
      <c r="L10" s="3" t="s">
        <v>69</v>
      </c>
      <c r="M10" s="3" t="s">
        <v>23</v>
      </c>
    </row>
    <row r="11" spans="1:13" x14ac:dyDescent="0.3">
      <c r="A11" s="3" t="s">
        <v>70</v>
      </c>
      <c r="B11" s="5" t="s">
        <v>71</v>
      </c>
      <c r="C11" s="3" t="s">
        <v>72</v>
      </c>
      <c r="D11" s="3" t="s">
        <v>73</v>
      </c>
      <c r="E11" s="3" t="s">
        <v>74</v>
      </c>
      <c r="F11" s="3" t="s">
        <v>75</v>
      </c>
      <c r="G11" s="3" t="s">
        <v>76</v>
      </c>
      <c r="H11" s="3"/>
      <c r="I11" s="3" t="s">
        <v>77</v>
      </c>
      <c r="J11" s="4">
        <v>1449</v>
      </c>
      <c r="K11" s="3" t="s">
        <v>21</v>
      </c>
      <c r="L11" s="3" t="s">
        <v>78</v>
      </c>
      <c r="M11" s="3" t="s">
        <v>23</v>
      </c>
    </row>
    <row r="12" spans="1:13" x14ac:dyDescent="0.3">
      <c r="A12" s="3" t="s">
        <v>279</v>
      </c>
      <c r="B12" s="5" t="s">
        <v>280</v>
      </c>
      <c r="C12" s="3" t="s">
        <v>26</v>
      </c>
      <c r="D12" s="3" t="s">
        <v>281</v>
      </c>
      <c r="E12" s="3"/>
      <c r="F12" s="3" t="s">
        <v>282</v>
      </c>
      <c r="G12" s="3" t="s">
        <v>283</v>
      </c>
      <c r="H12" s="3" t="s">
        <v>284</v>
      </c>
      <c r="I12" s="3"/>
      <c r="J12" s="4">
        <v>8.2799999999999994</v>
      </c>
      <c r="K12" s="3" t="s">
        <v>21</v>
      </c>
      <c r="L12" s="3" t="s">
        <v>285</v>
      </c>
      <c r="M12" s="3" t="s">
        <v>33</v>
      </c>
    </row>
    <row r="13" spans="1:13" x14ac:dyDescent="0.3">
      <c r="A13" s="3" t="s">
        <v>286</v>
      </c>
      <c r="B13" s="5" t="s">
        <v>251</v>
      </c>
      <c r="C13" s="3" t="s">
        <v>287</v>
      </c>
      <c r="D13" s="3" t="s">
        <v>288</v>
      </c>
      <c r="E13" s="3"/>
      <c r="F13" s="3" t="s">
        <v>289</v>
      </c>
      <c r="G13" s="3" t="s">
        <v>290</v>
      </c>
      <c r="H13" s="3" t="s">
        <v>291</v>
      </c>
      <c r="I13" s="3"/>
      <c r="J13" s="4">
        <v>6.55</v>
      </c>
      <c r="K13" s="3" t="s">
        <v>21</v>
      </c>
      <c r="L13" s="3" t="s">
        <v>292</v>
      </c>
      <c r="M13" s="3" t="s">
        <v>23</v>
      </c>
    </row>
    <row r="14" spans="1:13" x14ac:dyDescent="0.3">
      <c r="A14" s="3" t="s">
        <v>293</v>
      </c>
      <c r="B14" s="5" t="s">
        <v>252</v>
      </c>
      <c r="C14" s="3" t="s">
        <v>287</v>
      </c>
      <c r="D14" s="3" t="s">
        <v>463</v>
      </c>
      <c r="E14" s="3" t="s">
        <v>294</v>
      </c>
      <c r="F14" s="3" t="s">
        <v>289</v>
      </c>
      <c r="G14" s="3" t="s">
        <v>295</v>
      </c>
      <c r="H14" s="3" t="s">
        <v>296</v>
      </c>
      <c r="I14" s="3"/>
      <c r="J14" s="4">
        <v>5</v>
      </c>
      <c r="K14" s="3" t="s">
        <v>21</v>
      </c>
      <c r="L14" s="3" t="s">
        <v>297</v>
      </c>
      <c r="M14" s="3" t="s">
        <v>33</v>
      </c>
    </row>
    <row r="15" spans="1:13" x14ac:dyDescent="0.3">
      <c r="A15" s="3" t="s">
        <v>298</v>
      </c>
      <c r="B15" s="9" t="s">
        <v>299</v>
      </c>
      <c r="C15" s="3" t="s">
        <v>300</v>
      </c>
      <c r="D15" s="3" t="s">
        <v>465</v>
      </c>
      <c r="E15" s="3" t="s">
        <v>464</v>
      </c>
      <c r="F15" s="3" t="s">
        <v>289</v>
      </c>
      <c r="G15" s="3" t="s">
        <v>301</v>
      </c>
      <c r="H15" s="3" t="s">
        <v>302</v>
      </c>
      <c r="I15" s="3"/>
      <c r="J15" s="4">
        <v>14.33</v>
      </c>
      <c r="K15" s="3" t="s">
        <v>21</v>
      </c>
      <c r="L15" s="3" t="s">
        <v>303</v>
      </c>
      <c r="M15" s="3" t="s">
        <v>33</v>
      </c>
    </row>
    <row r="16" spans="1:13" x14ac:dyDescent="0.3">
      <c r="A16" s="3" t="s">
        <v>304</v>
      </c>
      <c r="B16" s="5" t="s">
        <v>244</v>
      </c>
      <c r="C16" s="3" t="s">
        <v>305</v>
      </c>
      <c r="D16" s="3" t="s">
        <v>306</v>
      </c>
      <c r="E16" s="3" t="s">
        <v>17</v>
      </c>
      <c r="F16" s="3" t="s">
        <v>282</v>
      </c>
      <c r="G16" s="3" t="s">
        <v>307</v>
      </c>
      <c r="H16" s="3" t="s">
        <v>308</v>
      </c>
      <c r="I16" s="3"/>
      <c r="J16" s="4">
        <v>22.82</v>
      </c>
      <c r="K16" s="3" t="s">
        <v>21</v>
      </c>
      <c r="L16" s="3" t="s">
        <v>309</v>
      </c>
      <c r="M16" s="3" t="s">
        <v>33</v>
      </c>
    </row>
    <row r="17" spans="1:13" x14ac:dyDescent="0.3">
      <c r="A17" s="3" t="s">
        <v>310</v>
      </c>
      <c r="B17" s="5" t="s">
        <v>469</v>
      </c>
      <c r="C17" s="3" t="s">
        <v>311</v>
      </c>
      <c r="D17" s="3" t="s">
        <v>312</v>
      </c>
      <c r="E17" s="3" t="s">
        <v>313</v>
      </c>
      <c r="F17" s="3" t="s">
        <v>314</v>
      </c>
      <c r="G17" s="3" t="s">
        <v>315</v>
      </c>
      <c r="H17" s="3" t="s">
        <v>316</v>
      </c>
      <c r="I17" s="3"/>
      <c r="J17" s="4">
        <v>56.91</v>
      </c>
      <c r="K17" s="3" t="s">
        <v>21</v>
      </c>
      <c r="L17" s="3" t="s">
        <v>317</v>
      </c>
      <c r="M17" s="3" t="s">
        <v>23</v>
      </c>
    </row>
    <row r="18" spans="1:13" x14ac:dyDescent="0.3">
      <c r="A18" s="3" t="s">
        <v>318</v>
      </c>
      <c r="B18" s="5" t="s">
        <v>319</v>
      </c>
      <c r="C18" s="3" t="s">
        <v>320</v>
      </c>
      <c r="D18" s="3" t="s">
        <v>470</v>
      </c>
      <c r="E18" s="3" t="s">
        <v>321</v>
      </c>
      <c r="F18" s="3" t="s">
        <v>289</v>
      </c>
      <c r="G18" s="3" t="s">
        <v>322</v>
      </c>
      <c r="H18" s="3" t="s">
        <v>323</v>
      </c>
      <c r="I18" s="3"/>
      <c r="J18" s="4">
        <v>0</v>
      </c>
      <c r="K18" s="3" t="s">
        <v>21</v>
      </c>
      <c r="L18" s="3" t="s">
        <v>324</v>
      </c>
      <c r="M18" s="3" t="s">
        <v>33</v>
      </c>
    </row>
    <row r="19" spans="1:13" x14ac:dyDescent="0.3">
      <c r="A19" s="3" t="s">
        <v>325</v>
      </c>
      <c r="B19" s="5" t="s">
        <v>257</v>
      </c>
      <c r="C19" s="3" t="s">
        <v>326</v>
      </c>
      <c r="D19" s="3" t="s">
        <v>327</v>
      </c>
      <c r="E19" s="3" t="s">
        <v>328</v>
      </c>
      <c r="F19" s="3" t="s">
        <v>314</v>
      </c>
      <c r="G19" s="3" t="s">
        <v>329</v>
      </c>
      <c r="H19" s="3" t="s">
        <v>330</v>
      </c>
      <c r="I19" s="3"/>
      <c r="J19" s="4">
        <v>40.75</v>
      </c>
      <c r="K19" s="3" t="s">
        <v>21</v>
      </c>
      <c r="L19" s="3" t="s">
        <v>331</v>
      </c>
      <c r="M19" s="3" t="s">
        <v>23</v>
      </c>
    </row>
    <row r="20" spans="1:13" x14ac:dyDescent="0.3">
      <c r="A20" s="3" t="s">
        <v>332</v>
      </c>
      <c r="B20" s="5" t="s">
        <v>259</v>
      </c>
      <c r="C20" s="3" t="s">
        <v>326</v>
      </c>
      <c r="D20" s="3" t="s">
        <v>333</v>
      </c>
      <c r="E20" s="3" t="s">
        <v>328</v>
      </c>
      <c r="F20" s="3" t="s">
        <v>314</v>
      </c>
      <c r="G20" s="3" t="s">
        <v>334</v>
      </c>
      <c r="H20" s="3" t="s">
        <v>335</v>
      </c>
      <c r="I20" s="3"/>
      <c r="J20" s="4">
        <v>34.14</v>
      </c>
      <c r="K20" s="3" t="s">
        <v>21</v>
      </c>
      <c r="L20" s="3" t="s">
        <v>336</v>
      </c>
      <c r="M20" s="3" t="s">
        <v>23</v>
      </c>
    </row>
    <row r="21" spans="1:13" x14ac:dyDescent="0.3">
      <c r="A21" s="3" t="s">
        <v>337</v>
      </c>
      <c r="B21" s="5" t="s">
        <v>261</v>
      </c>
      <c r="C21" s="3" t="s">
        <v>338</v>
      </c>
      <c r="D21" s="3" t="s">
        <v>339</v>
      </c>
      <c r="E21" s="3" t="s">
        <v>74</v>
      </c>
      <c r="F21" s="3" t="s">
        <v>75</v>
      </c>
      <c r="G21" s="3" t="s">
        <v>340</v>
      </c>
      <c r="H21" s="3"/>
      <c r="I21" s="3" t="s">
        <v>341</v>
      </c>
      <c r="J21" s="4">
        <v>203.95</v>
      </c>
      <c r="K21" s="3" t="s">
        <v>21</v>
      </c>
      <c r="L21" s="3" t="s">
        <v>342</v>
      </c>
      <c r="M21" s="3" t="s">
        <v>23</v>
      </c>
    </row>
    <row r="22" spans="1:13" x14ac:dyDescent="0.3">
      <c r="A22" s="3" t="s">
        <v>343</v>
      </c>
      <c r="B22" s="5" t="s">
        <v>263</v>
      </c>
      <c r="C22" s="3" t="s">
        <v>338</v>
      </c>
      <c r="D22" s="3" t="s">
        <v>339</v>
      </c>
      <c r="E22" s="3" t="s">
        <v>74</v>
      </c>
      <c r="F22" s="3" t="s">
        <v>75</v>
      </c>
      <c r="G22" s="3" t="s">
        <v>344</v>
      </c>
      <c r="H22" s="3"/>
      <c r="I22" s="3" t="s">
        <v>345</v>
      </c>
      <c r="J22" s="4">
        <v>479</v>
      </c>
      <c r="K22" s="3" t="s">
        <v>21</v>
      </c>
      <c r="L22" s="3" t="s">
        <v>346</v>
      </c>
      <c r="M22" s="3" t="s">
        <v>23</v>
      </c>
    </row>
    <row r="23" spans="1:13" x14ac:dyDescent="0.3">
      <c r="A23" s="3" t="s">
        <v>347</v>
      </c>
      <c r="B23" s="5" t="s">
        <v>348</v>
      </c>
      <c r="C23" s="3" t="s">
        <v>349</v>
      </c>
      <c r="D23" s="3" t="s">
        <v>350</v>
      </c>
      <c r="E23" s="3" t="s">
        <v>351</v>
      </c>
      <c r="F23" s="3" t="s">
        <v>75</v>
      </c>
      <c r="G23" s="3" t="s">
        <v>352</v>
      </c>
      <c r="H23" s="3" t="s">
        <v>353</v>
      </c>
      <c r="I23" s="3" t="s">
        <v>354</v>
      </c>
      <c r="J23" s="4">
        <v>56.54</v>
      </c>
      <c r="K23" s="3" t="s">
        <v>21</v>
      </c>
      <c r="L23" s="3" t="s">
        <v>355</v>
      </c>
      <c r="M23" s="3" t="s">
        <v>23</v>
      </c>
    </row>
    <row r="24" spans="1:13" x14ac:dyDescent="0.3">
      <c r="A24" s="3" t="s">
        <v>358</v>
      </c>
      <c r="B24" s="5" t="s">
        <v>359</v>
      </c>
      <c r="C24" s="3" t="s">
        <v>26</v>
      </c>
      <c r="D24" s="3" t="s">
        <v>472</v>
      </c>
      <c r="E24" s="3" t="s">
        <v>464</v>
      </c>
      <c r="F24" s="3" t="s">
        <v>289</v>
      </c>
      <c r="G24" s="10">
        <v>43596</v>
      </c>
      <c r="H24" s="11">
        <v>0.33958333333333335</v>
      </c>
      <c r="I24" s="3"/>
      <c r="J24" s="4">
        <v>5.4</v>
      </c>
      <c r="K24" s="3" t="s">
        <v>21</v>
      </c>
      <c r="L24" s="3" t="s">
        <v>360</v>
      </c>
      <c r="M24" s="3" t="s">
        <v>245</v>
      </c>
    </row>
  </sheetData>
  <phoneticPr fontId="4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63"/>
  <sheetViews>
    <sheetView tabSelected="1" workbookViewId="0">
      <pane xSplit="2" ySplit="1" topLeftCell="G83" activePane="bottomRight" state="frozen"/>
      <selection pane="topRight" activeCell="C1" sqref="C1"/>
      <selection pane="bottomLeft" activeCell="A2" sqref="A2"/>
      <selection pane="bottomRight" activeCell="M156" sqref="M156"/>
    </sheetView>
  </sheetViews>
  <sheetFormatPr defaultRowHeight="14.4" x14ac:dyDescent="0.3"/>
  <cols>
    <col min="1" max="1" width="10" customWidth="1"/>
    <col min="2" max="2" width="5.6640625" customWidth="1"/>
    <col min="3" max="3" width="6.6640625" customWidth="1"/>
    <col min="4" max="4" width="26.88671875" customWidth="1"/>
    <col min="5" max="5" width="24" hidden="1" customWidth="1"/>
    <col min="6" max="6" width="10" customWidth="1"/>
    <col min="7" max="7" width="10.88671875" customWidth="1"/>
    <col min="8" max="9" width="12" customWidth="1"/>
    <col min="10" max="11" width="14" hidden="1" customWidth="1"/>
    <col min="12" max="12" width="12" customWidth="1"/>
    <col min="13" max="13" width="14" style="8" customWidth="1"/>
    <col min="14" max="14" width="36" customWidth="1"/>
  </cols>
  <sheetData>
    <row r="1" spans="1:14" x14ac:dyDescent="0.3">
      <c r="A1" s="1" t="s">
        <v>0</v>
      </c>
      <c r="B1" s="1" t="s">
        <v>1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2" t="s">
        <v>84</v>
      </c>
      <c r="I1" s="2" t="s">
        <v>85</v>
      </c>
      <c r="J1" s="1" t="s">
        <v>86</v>
      </c>
      <c r="K1" s="1" t="s">
        <v>87</v>
      </c>
      <c r="L1" s="2" t="s">
        <v>88</v>
      </c>
      <c r="M1" s="6" t="s">
        <v>271</v>
      </c>
      <c r="N1" s="1" t="s">
        <v>11</v>
      </c>
    </row>
    <row r="2" spans="1:14" x14ac:dyDescent="0.3">
      <c r="A2" s="3" t="s">
        <v>13</v>
      </c>
      <c r="B2" s="5" t="s">
        <v>14</v>
      </c>
      <c r="C2" s="3">
        <v>1</v>
      </c>
      <c r="D2" s="3" t="s">
        <v>89</v>
      </c>
      <c r="E2" s="3" t="s">
        <v>90</v>
      </c>
      <c r="F2" s="3">
        <v>6</v>
      </c>
      <c r="G2" s="3" t="s">
        <v>90</v>
      </c>
      <c r="H2" s="4">
        <f>tbl_ReceiptLines[[#This Row],[Netto prijs]]/tbl_ReceiptLines[[#This Row],[Quantity]]</f>
        <v>0.54</v>
      </c>
      <c r="I2" s="4">
        <v>3.24</v>
      </c>
      <c r="J2" s="3">
        <v>3003700</v>
      </c>
      <c r="K2" s="3"/>
      <c r="L2" s="4"/>
      <c r="M2" s="7">
        <f>tbl_ReceiptLines[[#This Row],[Line_Total]]-tbl_ReceiptLines[[#This Row],[Discount_Info]]</f>
        <v>3.24</v>
      </c>
      <c r="N2" s="3" t="s">
        <v>91</v>
      </c>
    </row>
    <row r="3" spans="1:14" x14ac:dyDescent="0.3">
      <c r="A3" s="3" t="s">
        <v>13</v>
      </c>
      <c r="B3" s="5" t="s">
        <v>14</v>
      </c>
      <c r="C3" s="3">
        <v>2</v>
      </c>
      <c r="D3" s="3" t="s">
        <v>92</v>
      </c>
      <c r="E3" s="3" t="s">
        <v>93</v>
      </c>
      <c r="F3" s="3">
        <v>1</v>
      </c>
      <c r="G3" s="3" t="s">
        <v>93</v>
      </c>
      <c r="H3" s="4">
        <f>tbl_ReceiptLines[[#This Row],[Netto prijs]]/tbl_ReceiptLines[[#This Row],[Quantity]]</f>
        <v>7.98</v>
      </c>
      <c r="I3" s="4">
        <v>7.98</v>
      </c>
      <c r="J3" s="3">
        <v>3221989</v>
      </c>
      <c r="K3" s="3"/>
      <c r="L3" s="4"/>
      <c r="M3" s="7">
        <f>tbl_ReceiptLines[[#This Row],[Line_Total]]-tbl_ReceiptLines[[#This Row],[Discount_Info]]</f>
        <v>7.98</v>
      </c>
      <c r="N3" s="3"/>
    </row>
    <row r="4" spans="1:14" x14ac:dyDescent="0.3">
      <c r="A4" s="3" t="s">
        <v>13</v>
      </c>
      <c r="B4" s="5" t="s">
        <v>14</v>
      </c>
      <c r="C4" s="3">
        <v>3</v>
      </c>
      <c r="D4" s="3" t="s">
        <v>94</v>
      </c>
      <c r="E4" s="3" t="s">
        <v>95</v>
      </c>
      <c r="F4" s="3">
        <v>1</v>
      </c>
      <c r="G4" s="3"/>
      <c r="H4" s="4">
        <f>tbl_ReceiptLines[[#This Row],[Netto prijs]]/tbl_ReceiptLines[[#This Row],[Quantity]]</f>
        <v>3.99</v>
      </c>
      <c r="I4" s="4">
        <v>3.99</v>
      </c>
      <c r="J4" s="3">
        <v>2577107</v>
      </c>
      <c r="K4" s="3"/>
      <c r="L4" s="4"/>
      <c r="M4" s="7">
        <f>tbl_ReceiptLines[[#This Row],[Line_Total]]-tbl_ReceiptLines[[#This Row],[Discount_Info]]</f>
        <v>3.99</v>
      </c>
      <c r="N4" s="3"/>
    </row>
    <row r="5" spans="1:14" x14ac:dyDescent="0.3">
      <c r="A5" s="3" t="s">
        <v>13</v>
      </c>
      <c r="B5" s="5" t="s">
        <v>14</v>
      </c>
      <c r="C5" s="3">
        <v>4</v>
      </c>
      <c r="D5" s="3" t="s">
        <v>96</v>
      </c>
      <c r="E5" s="3" t="s">
        <v>97</v>
      </c>
      <c r="F5" s="3">
        <v>1</v>
      </c>
      <c r="G5" s="3" t="s">
        <v>98</v>
      </c>
      <c r="H5" s="4">
        <f>tbl_ReceiptLines[[#This Row],[Netto prijs]]/tbl_ReceiptLines[[#This Row],[Quantity]]</f>
        <v>2.58</v>
      </c>
      <c r="I5" s="4">
        <v>2.58</v>
      </c>
      <c r="J5" s="3">
        <v>3201998</v>
      </c>
      <c r="K5" s="3"/>
      <c r="L5" s="4"/>
      <c r="M5" s="7">
        <f>tbl_ReceiptLines[[#This Row],[Line_Total]]-tbl_ReceiptLines[[#This Row],[Discount_Info]]</f>
        <v>2.58</v>
      </c>
      <c r="N5" s="3"/>
    </row>
    <row r="6" spans="1:14" x14ac:dyDescent="0.3">
      <c r="A6" s="3" t="s">
        <v>24</v>
      </c>
      <c r="B6" s="5" t="s">
        <v>25</v>
      </c>
      <c r="C6" s="3">
        <v>1</v>
      </c>
      <c r="D6" s="3" t="s">
        <v>99</v>
      </c>
      <c r="E6" s="3"/>
      <c r="F6" s="3">
        <v>1</v>
      </c>
      <c r="G6" s="3"/>
      <c r="H6" s="4">
        <f>tbl_ReceiptLines[[#This Row],[Line_Total]]/tbl_ReceiptLines[[#This Row],[Quantity]]</f>
        <v>1.19</v>
      </c>
      <c r="I6" s="4">
        <v>1.19</v>
      </c>
      <c r="J6" s="3"/>
      <c r="K6" s="3"/>
      <c r="L6" s="4"/>
      <c r="M6" s="7">
        <f>tbl_ReceiptLines[[#This Row],[Line_Total]]-tbl_ReceiptLines[[#This Row],[Discount_Info]]</f>
        <v>1.19</v>
      </c>
      <c r="N6" s="3"/>
    </row>
    <row r="7" spans="1:14" x14ac:dyDescent="0.3">
      <c r="A7" s="3" t="s">
        <v>24</v>
      </c>
      <c r="B7" s="5" t="s">
        <v>25</v>
      </c>
      <c r="C7" s="3">
        <v>2</v>
      </c>
      <c r="D7" s="3" t="s">
        <v>100</v>
      </c>
      <c r="E7" s="3"/>
      <c r="F7" s="3">
        <v>1</v>
      </c>
      <c r="G7" s="3"/>
      <c r="H7" s="4">
        <f>tbl_ReceiptLines[[#This Row],[Line_Total]]/tbl_ReceiptLines[[#This Row],[Quantity]]</f>
        <v>0.99</v>
      </c>
      <c r="I7" s="4">
        <v>0.99</v>
      </c>
      <c r="J7" s="3"/>
      <c r="K7" s="3"/>
      <c r="L7" s="4">
        <v>0.15</v>
      </c>
      <c r="M7" s="7">
        <f>tbl_ReceiptLines[[#This Row],[Line_Total]]-tbl_ReceiptLines[[#This Row],[Discount_Info]]</f>
        <v>0.84</v>
      </c>
      <c r="N7" s="3" t="s">
        <v>101</v>
      </c>
    </row>
    <row r="8" spans="1:14" x14ac:dyDescent="0.3">
      <c r="A8" s="3" t="s">
        <v>24</v>
      </c>
      <c r="B8" s="5" t="s">
        <v>25</v>
      </c>
      <c r="C8" s="3">
        <v>3</v>
      </c>
      <c r="D8" s="3" t="s">
        <v>102</v>
      </c>
      <c r="E8" s="3"/>
      <c r="F8" s="3">
        <v>1</v>
      </c>
      <c r="G8" s="3"/>
      <c r="H8" s="4">
        <f>tbl_ReceiptLines[[#This Row],[Line_Total]]/tbl_ReceiptLines[[#This Row],[Quantity]]</f>
        <v>2.19</v>
      </c>
      <c r="I8" s="4">
        <v>2.19</v>
      </c>
      <c r="J8" s="3"/>
      <c r="K8" s="3"/>
      <c r="L8" s="4"/>
      <c r="M8" s="7">
        <f>tbl_ReceiptLines[[#This Row],[Line_Total]]-tbl_ReceiptLines[[#This Row],[Discount_Info]]</f>
        <v>2.19</v>
      </c>
      <c r="N8" s="3" t="s">
        <v>101</v>
      </c>
    </row>
    <row r="9" spans="1:14" x14ac:dyDescent="0.3">
      <c r="A9" s="3" t="s">
        <v>24</v>
      </c>
      <c r="B9" s="5" t="s">
        <v>25</v>
      </c>
      <c r="C9" s="3">
        <v>4</v>
      </c>
      <c r="D9" s="3" t="s">
        <v>272</v>
      </c>
      <c r="E9" s="3" t="s">
        <v>273</v>
      </c>
      <c r="F9" s="3">
        <v>8</v>
      </c>
      <c r="G9" s="3"/>
      <c r="H9" s="4">
        <v>0.1</v>
      </c>
      <c r="I9" s="4">
        <f>tbl_ReceiptLines[[#This Row],[Quantity]]*tbl_ReceiptLines[[#This Row],[Unit_Price]]</f>
        <v>0.8</v>
      </c>
      <c r="J9" s="3"/>
      <c r="K9" s="3"/>
      <c r="L9" s="4"/>
      <c r="M9" s="7">
        <f>tbl_ReceiptLines[[#This Row],[Line_Total]]-tbl_ReceiptLines[[#This Row],[Discount_Info]]</f>
        <v>0.8</v>
      </c>
      <c r="N9" s="3" t="s">
        <v>274</v>
      </c>
    </row>
    <row r="10" spans="1:14" x14ac:dyDescent="0.3">
      <c r="A10" s="3" t="s">
        <v>29</v>
      </c>
      <c r="B10" s="5" t="s">
        <v>30</v>
      </c>
      <c r="C10" s="3">
        <v>1</v>
      </c>
      <c r="D10" s="3" t="s">
        <v>103</v>
      </c>
      <c r="E10" s="3"/>
      <c r="F10" s="3">
        <v>1</v>
      </c>
      <c r="G10" s="3"/>
      <c r="H10" s="4"/>
      <c r="I10" s="4">
        <v>1.3</v>
      </c>
      <c r="J10" s="3"/>
      <c r="K10" s="3"/>
      <c r="L10" s="4">
        <v>0.51</v>
      </c>
      <c r="M10" s="7">
        <f>tbl_ReceiptLines[[#This Row],[Line_Total]]-tbl_ReceiptLines[[#This Row],[Discount_Info]]</f>
        <v>0.79</v>
      </c>
      <c r="N10" s="3"/>
    </row>
    <row r="11" spans="1:14" x14ac:dyDescent="0.3">
      <c r="A11" s="3" t="s">
        <v>29</v>
      </c>
      <c r="B11" s="5" t="s">
        <v>30</v>
      </c>
      <c r="C11" s="3">
        <v>2</v>
      </c>
      <c r="D11" s="3" t="s">
        <v>104</v>
      </c>
      <c r="E11" s="3"/>
      <c r="F11" s="3">
        <v>2</v>
      </c>
      <c r="G11" s="3"/>
      <c r="H11" s="4">
        <f>0.99-0.49</f>
        <v>0.5</v>
      </c>
      <c r="I11" s="4">
        <v>1.98</v>
      </c>
      <c r="J11" s="3"/>
      <c r="K11" s="3"/>
      <c r="L11" s="4">
        <v>0.49</v>
      </c>
      <c r="M11" s="7">
        <f>tbl_ReceiptLines[[#This Row],[Line_Total]]-tbl_ReceiptLines[[#This Row],[Discount_Info]]</f>
        <v>1.49</v>
      </c>
      <c r="N11" s="3" t="s">
        <v>105</v>
      </c>
    </row>
    <row r="12" spans="1:14" x14ac:dyDescent="0.3">
      <c r="A12" s="3" t="s">
        <v>29</v>
      </c>
      <c r="B12" s="5" t="s">
        <v>30</v>
      </c>
      <c r="C12" s="3">
        <v>3</v>
      </c>
      <c r="D12" s="3" t="s">
        <v>106</v>
      </c>
      <c r="E12" s="3"/>
      <c r="F12" s="3">
        <v>1</v>
      </c>
      <c r="G12" s="3"/>
      <c r="H12" s="4"/>
      <c r="I12" s="4">
        <v>2.69</v>
      </c>
      <c r="J12" s="3"/>
      <c r="K12" s="3"/>
      <c r="L12" s="4"/>
      <c r="M12" s="7">
        <v>2.69</v>
      </c>
      <c r="N12" s="3" t="s">
        <v>105</v>
      </c>
    </row>
    <row r="13" spans="1:14" x14ac:dyDescent="0.3">
      <c r="A13" s="3" t="s">
        <v>29</v>
      </c>
      <c r="B13" s="5" t="s">
        <v>30</v>
      </c>
      <c r="C13" s="3">
        <v>4</v>
      </c>
      <c r="D13" s="3" t="s">
        <v>108</v>
      </c>
      <c r="E13" s="3"/>
      <c r="F13" s="3">
        <v>0.40400000000000003</v>
      </c>
      <c r="G13" s="3" t="s">
        <v>107</v>
      </c>
      <c r="H13" s="4">
        <v>7.9</v>
      </c>
      <c r="I13" s="4">
        <f>tbl_ReceiptLines[[#This Row],[Quantity]]*tbl_ReceiptLines[[#This Row],[Unit_Price]]</f>
        <v>3.1916000000000002</v>
      </c>
      <c r="J13" s="3"/>
      <c r="K13" s="3"/>
      <c r="L13" s="4"/>
      <c r="M13" s="7">
        <f>tbl_ReceiptLines[[#This Row],[Line_Total]]-tbl_ReceiptLines[[#This Row],[Discount_Info]]</f>
        <v>3.1916000000000002</v>
      </c>
      <c r="N13" s="3" t="s">
        <v>105</v>
      </c>
    </row>
    <row r="14" spans="1:14" x14ac:dyDescent="0.3">
      <c r="A14" s="3" t="s">
        <v>29</v>
      </c>
      <c r="B14" s="5" t="s">
        <v>30</v>
      </c>
      <c r="C14" s="3">
        <v>5</v>
      </c>
      <c r="D14" s="3" t="s">
        <v>109</v>
      </c>
      <c r="E14" s="3"/>
      <c r="F14" s="3">
        <v>1</v>
      </c>
      <c r="G14" s="3"/>
      <c r="H14" s="4"/>
      <c r="I14" s="4">
        <v>0.7</v>
      </c>
      <c r="J14" s="3"/>
      <c r="K14" s="3"/>
      <c r="L14" s="4"/>
      <c r="M14" s="7">
        <f>tbl_ReceiptLines[[#This Row],[Line_Total]]-tbl_ReceiptLines[[#This Row],[Discount_Info]]</f>
        <v>0.7</v>
      </c>
      <c r="N14" s="3" t="s">
        <v>105</v>
      </c>
    </row>
    <row r="15" spans="1:14" x14ac:dyDescent="0.3">
      <c r="A15" s="3" t="s">
        <v>29</v>
      </c>
      <c r="B15" s="5" t="s">
        <v>30</v>
      </c>
      <c r="C15" s="3">
        <v>6</v>
      </c>
      <c r="D15" s="3" t="s">
        <v>110</v>
      </c>
      <c r="E15" s="3"/>
      <c r="F15" s="3">
        <v>1</v>
      </c>
      <c r="G15" s="3"/>
      <c r="H15" s="4"/>
      <c r="I15" s="4">
        <v>2.12</v>
      </c>
      <c r="J15" s="3"/>
      <c r="K15" s="3"/>
      <c r="L15" s="4"/>
      <c r="M15" s="7">
        <f>tbl_ReceiptLines[[#This Row],[Line_Total]]-tbl_ReceiptLines[[#This Row],[Discount_Info]]</f>
        <v>2.12</v>
      </c>
      <c r="N15" s="3" t="s">
        <v>111</v>
      </c>
    </row>
    <row r="16" spans="1:14" x14ac:dyDescent="0.3">
      <c r="A16" s="3" t="s">
        <v>29</v>
      </c>
      <c r="B16" s="5" t="s">
        <v>30</v>
      </c>
      <c r="C16" s="3">
        <v>7</v>
      </c>
      <c r="D16" s="3" t="s">
        <v>112</v>
      </c>
      <c r="E16" s="3"/>
      <c r="F16" s="3">
        <v>1</v>
      </c>
      <c r="G16" s="3"/>
      <c r="H16" s="4"/>
      <c r="I16" s="4">
        <v>1.99</v>
      </c>
      <c r="J16" s="3"/>
      <c r="K16" s="3"/>
      <c r="L16" s="4"/>
      <c r="M16" s="7">
        <f>tbl_ReceiptLines[[#This Row],[Line_Total]]-tbl_ReceiptLines[[#This Row],[Discount_Info]]</f>
        <v>1.99</v>
      </c>
      <c r="N16" s="3" t="s">
        <v>111</v>
      </c>
    </row>
    <row r="17" spans="1:14" x14ac:dyDescent="0.3">
      <c r="A17" s="3" t="s">
        <v>29</v>
      </c>
      <c r="B17" s="5" t="s">
        <v>30</v>
      </c>
      <c r="C17" s="3">
        <v>8</v>
      </c>
      <c r="D17" s="3" t="s">
        <v>113</v>
      </c>
      <c r="E17" s="3"/>
      <c r="F17" s="3">
        <v>1</v>
      </c>
      <c r="G17" s="3"/>
      <c r="H17" s="4"/>
      <c r="I17" s="4">
        <v>1.35</v>
      </c>
      <c r="J17" s="3"/>
      <c r="K17" s="3"/>
      <c r="L17" s="4">
        <v>0.2</v>
      </c>
      <c r="M17" s="7">
        <f>tbl_ReceiptLines[[#This Row],[Line_Total]]-tbl_ReceiptLines[[#This Row],[Discount_Info]]</f>
        <v>1.1500000000000001</v>
      </c>
      <c r="N17" s="3" t="s">
        <v>111</v>
      </c>
    </row>
    <row r="18" spans="1:14" x14ac:dyDescent="0.3">
      <c r="A18" s="3" t="s">
        <v>29</v>
      </c>
      <c r="B18" s="5" t="s">
        <v>30</v>
      </c>
      <c r="C18" s="3">
        <v>9</v>
      </c>
      <c r="D18" s="3" t="s">
        <v>114</v>
      </c>
      <c r="E18" s="3"/>
      <c r="F18" s="3">
        <v>1</v>
      </c>
      <c r="G18" s="3"/>
      <c r="H18" s="4"/>
      <c r="I18" s="4">
        <v>2.15</v>
      </c>
      <c r="J18" s="3"/>
      <c r="K18" s="3"/>
      <c r="L18" s="4">
        <v>0.54</v>
      </c>
      <c r="M18" s="7">
        <f>tbl_ReceiptLines[[#This Row],[Line_Total]]-tbl_ReceiptLines[[#This Row],[Discount_Info]]</f>
        <v>1.6099999999999999</v>
      </c>
      <c r="N18" s="3"/>
    </row>
    <row r="19" spans="1:14" x14ac:dyDescent="0.3">
      <c r="A19" s="3" t="s">
        <v>29</v>
      </c>
      <c r="B19" s="5" t="s">
        <v>30</v>
      </c>
      <c r="C19" s="3">
        <v>10</v>
      </c>
      <c r="D19" s="3" t="s">
        <v>115</v>
      </c>
      <c r="E19" s="3"/>
      <c r="F19" s="3">
        <v>1</v>
      </c>
      <c r="G19" s="3"/>
      <c r="H19" s="4"/>
      <c r="I19" s="4">
        <v>1.59</v>
      </c>
      <c r="J19" s="3"/>
      <c r="K19" s="3"/>
      <c r="L19" s="4"/>
      <c r="M19" s="7">
        <f>tbl_ReceiptLines[[#This Row],[Line_Total]]-tbl_ReceiptLines[[#This Row],[Discount_Info]]</f>
        <v>1.59</v>
      </c>
      <c r="N19" s="3" t="s">
        <v>111</v>
      </c>
    </row>
    <row r="20" spans="1:14" x14ac:dyDescent="0.3">
      <c r="A20" s="3" t="s">
        <v>29</v>
      </c>
      <c r="B20" s="5" t="s">
        <v>30</v>
      </c>
      <c r="C20" s="3">
        <v>11</v>
      </c>
      <c r="D20" s="3" t="s">
        <v>116</v>
      </c>
      <c r="E20" s="3"/>
      <c r="F20" s="3">
        <v>1</v>
      </c>
      <c r="G20" s="3"/>
      <c r="H20" s="4"/>
      <c r="I20" s="4">
        <v>1.99</v>
      </c>
      <c r="J20" s="3"/>
      <c r="K20" s="3"/>
      <c r="L20" s="4"/>
      <c r="M20" s="7">
        <f>tbl_ReceiptLines[[#This Row],[Line_Total]]-tbl_ReceiptLines[[#This Row],[Discount_Info]]</f>
        <v>1.99</v>
      </c>
      <c r="N20" s="3"/>
    </row>
    <row r="21" spans="1:14" x14ac:dyDescent="0.3">
      <c r="A21" s="3" t="s">
        <v>29</v>
      </c>
      <c r="B21" s="5" t="s">
        <v>30</v>
      </c>
      <c r="C21" s="3">
        <v>12</v>
      </c>
      <c r="D21" s="3" t="s">
        <v>117</v>
      </c>
      <c r="E21" s="3"/>
      <c r="F21" s="3">
        <v>1</v>
      </c>
      <c r="G21" s="3"/>
      <c r="H21" s="4"/>
      <c r="I21" s="4">
        <v>1.65</v>
      </c>
      <c r="J21" s="3"/>
      <c r="K21" s="3"/>
      <c r="L21" s="4"/>
      <c r="M21" s="7">
        <f>tbl_ReceiptLines[[#This Row],[Line_Total]]-tbl_ReceiptLines[[#This Row],[Discount_Info]]</f>
        <v>1.65</v>
      </c>
      <c r="N21" s="3" t="s">
        <v>118</v>
      </c>
    </row>
    <row r="22" spans="1:14" x14ac:dyDescent="0.3">
      <c r="A22" s="3" t="s">
        <v>29</v>
      </c>
      <c r="B22" s="5" t="s">
        <v>30</v>
      </c>
      <c r="C22" s="3">
        <v>13</v>
      </c>
      <c r="D22" s="3" t="s">
        <v>117</v>
      </c>
      <c r="E22" s="3"/>
      <c r="F22" s="3">
        <v>2</v>
      </c>
      <c r="G22" s="3"/>
      <c r="H22" s="4">
        <v>0.59</v>
      </c>
      <c r="I22" s="4">
        <f>tbl_ReceiptLines[[#This Row],[Quantity]]*tbl_ReceiptLines[[#This Row],[Unit_Price]]</f>
        <v>1.18</v>
      </c>
      <c r="J22" s="3"/>
      <c r="K22" s="3"/>
      <c r="L22" s="4"/>
      <c r="M22" s="7">
        <f>tbl_ReceiptLines[[#This Row],[Line_Total]]-tbl_ReceiptLines[[#This Row],[Discount_Info]]</f>
        <v>1.18</v>
      </c>
      <c r="N22" s="3" t="s">
        <v>118</v>
      </c>
    </row>
    <row r="23" spans="1:14" x14ac:dyDescent="0.3">
      <c r="A23" s="3" t="s">
        <v>29</v>
      </c>
      <c r="B23" s="5" t="s">
        <v>30</v>
      </c>
      <c r="C23" s="3">
        <v>14</v>
      </c>
      <c r="D23" s="3" t="s">
        <v>117</v>
      </c>
      <c r="E23" s="3"/>
      <c r="F23" s="3">
        <v>1</v>
      </c>
      <c r="G23" s="3"/>
      <c r="H23" s="4"/>
      <c r="I23" s="4">
        <v>0.69</v>
      </c>
      <c r="J23" s="3"/>
      <c r="K23" s="3"/>
      <c r="L23" s="4"/>
      <c r="M23" s="7">
        <f>tbl_ReceiptLines[[#This Row],[Line_Total]]-tbl_ReceiptLines[[#This Row],[Discount_Info]]</f>
        <v>0.69</v>
      </c>
      <c r="N23" s="3" t="s">
        <v>118</v>
      </c>
    </row>
    <row r="24" spans="1:14" x14ac:dyDescent="0.3">
      <c r="A24" s="3" t="s">
        <v>29</v>
      </c>
      <c r="B24" s="5" t="s">
        <v>30</v>
      </c>
      <c r="C24" s="3">
        <v>15</v>
      </c>
      <c r="D24" s="3" t="s">
        <v>119</v>
      </c>
      <c r="E24" s="3"/>
      <c r="F24" s="3">
        <v>1</v>
      </c>
      <c r="G24" s="3"/>
      <c r="H24" s="4"/>
      <c r="I24" s="4">
        <v>2.69</v>
      </c>
      <c r="J24" s="3"/>
      <c r="K24" s="3"/>
      <c r="L24" s="4"/>
      <c r="M24" s="7">
        <f>tbl_ReceiptLines[[#This Row],[Line_Total]]-tbl_ReceiptLines[[#This Row],[Discount_Info]]</f>
        <v>2.69</v>
      </c>
      <c r="N24" s="3"/>
    </row>
    <row r="25" spans="1:14" x14ac:dyDescent="0.3">
      <c r="A25" s="3" t="s">
        <v>29</v>
      </c>
      <c r="B25" s="5" t="s">
        <v>30</v>
      </c>
      <c r="C25" s="3">
        <v>16</v>
      </c>
      <c r="D25" s="3" t="s">
        <v>120</v>
      </c>
      <c r="E25" s="3"/>
      <c r="F25" s="3">
        <v>1</v>
      </c>
      <c r="G25" s="3"/>
      <c r="H25" s="4"/>
      <c r="I25" s="4">
        <v>1.29</v>
      </c>
      <c r="J25" s="3"/>
      <c r="K25" s="3"/>
      <c r="L25" s="4"/>
      <c r="M25" s="7">
        <f>tbl_ReceiptLines[[#This Row],[Line_Total]]-tbl_ReceiptLines[[#This Row],[Discount_Info]]</f>
        <v>1.29</v>
      </c>
      <c r="N25" s="3" t="s">
        <v>111</v>
      </c>
    </row>
    <row r="26" spans="1:14" x14ac:dyDescent="0.3">
      <c r="A26" s="3" t="s">
        <v>29</v>
      </c>
      <c r="B26" s="5" t="s">
        <v>30</v>
      </c>
      <c r="C26" s="3">
        <v>17</v>
      </c>
      <c r="D26" s="3" t="s">
        <v>121</v>
      </c>
      <c r="E26" s="3"/>
      <c r="F26" s="3">
        <v>1</v>
      </c>
      <c r="G26" s="3"/>
      <c r="H26" s="4"/>
      <c r="I26" s="4">
        <v>1.19</v>
      </c>
      <c r="J26" s="3"/>
      <c r="K26" s="3"/>
      <c r="L26" s="4"/>
      <c r="M26" s="7">
        <f>tbl_ReceiptLines[[#This Row],[Line_Total]]-tbl_ReceiptLines[[#This Row],[Discount_Info]]</f>
        <v>1.19</v>
      </c>
      <c r="N26" s="3"/>
    </row>
    <row r="27" spans="1:14" x14ac:dyDescent="0.3">
      <c r="A27" s="3" t="s">
        <v>29</v>
      </c>
      <c r="B27" s="5" t="s">
        <v>30</v>
      </c>
      <c r="C27" s="3">
        <v>18</v>
      </c>
      <c r="D27" s="3" t="s">
        <v>122</v>
      </c>
      <c r="E27" s="3"/>
      <c r="F27" s="3">
        <v>2</v>
      </c>
      <c r="G27" s="3"/>
      <c r="H27" s="4">
        <v>0.69</v>
      </c>
      <c r="I27" s="4">
        <f>tbl_ReceiptLines[[#This Row],[Quantity]]*tbl_ReceiptLines[[#This Row],[Unit_Price]]</f>
        <v>1.38</v>
      </c>
      <c r="J27" s="3"/>
      <c r="K27" s="3"/>
      <c r="L27" s="4"/>
      <c r="M27" s="7">
        <f>tbl_ReceiptLines[[#This Row],[Line_Total]]-tbl_ReceiptLines[[#This Row],[Discount_Info]]</f>
        <v>1.38</v>
      </c>
      <c r="N27" s="3" t="s">
        <v>105</v>
      </c>
    </row>
    <row r="28" spans="1:14" x14ac:dyDescent="0.3">
      <c r="A28" s="3" t="s">
        <v>29</v>
      </c>
      <c r="B28" s="5" t="s">
        <v>30</v>
      </c>
      <c r="C28" s="3">
        <v>19</v>
      </c>
      <c r="D28" s="3" t="s">
        <v>123</v>
      </c>
      <c r="E28" s="3"/>
      <c r="F28" s="3">
        <v>3</v>
      </c>
      <c r="G28" s="3"/>
      <c r="H28" s="4">
        <v>0.39</v>
      </c>
      <c r="I28" s="4">
        <f>tbl_ReceiptLines[[#This Row],[Quantity]]*tbl_ReceiptLines[[#This Row],[Unit_Price]]</f>
        <v>1.17</v>
      </c>
      <c r="J28" s="3"/>
      <c r="K28" s="3"/>
      <c r="L28" s="4">
        <v>0.54</v>
      </c>
      <c r="M28" s="7">
        <f>tbl_ReceiptLines[[#This Row],[Line_Total]]-tbl_ReceiptLines[[#This Row],[Discount_Info]]</f>
        <v>0.62999999999999989</v>
      </c>
      <c r="N28" s="3" t="s">
        <v>124</v>
      </c>
    </row>
    <row r="29" spans="1:14" x14ac:dyDescent="0.3">
      <c r="A29" s="3" t="s">
        <v>29</v>
      </c>
      <c r="B29" s="5" t="s">
        <v>30</v>
      </c>
      <c r="C29" s="3">
        <v>20</v>
      </c>
      <c r="D29" s="3" t="s">
        <v>122</v>
      </c>
      <c r="E29" s="3"/>
      <c r="F29" s="3">
        <v>1</v>
      </c>
      <c r="G29" s="3"/>
      <c r="H29" s="4">
        <v>0.69</v>
      </c>
      <c r="I29" s="4">
        <f>tbl_ReceiptLines[[#This Row],[Quantity]]*tbl_ReceiptLines[[#This Row],[Unit_Price]]</f>
        <v>0.69</v>
      </c>
      <c r="J29" s="3"/>
      <c r="K29" s="3"/>
      <c r="L29" s="4"/>
      <c r="M29" s="7">
        <f>tbl_ReceiptLines[[#This Row],[Line_Total]]-tbl_ReceiptLines[[#This Row],[Discount_Info]]</f>
        <v>0.69</v>
      </c>
      <c r="N29" s="3" t="s">
        <v>105</v>
      </c>
    </row>
    <row r="30" spans="1:14" x14ac:dyDescent="0.3">
      <c r="A30" s="3" t="s">
        <v>29</v>
      </c>
      <c r="B30" s="5" t="s">
        <v>30</v>
      </c>
      <c r="C30" s="3">
        <v>21</v>
      </c>
      <c r="D30" s="3" t="s">
        <v>125</v>
      </c>
      <c r="E30" s="3"/>
      <c r="F30" s="3">
        <v>2</v>
      </c>
      <c r="G30" s="3"/>
      <c r="H30" s="4">
        <v>4.6900000000000004</v>
      </c>
      <c r="I30" s="4">
        <f>tbl_ReceiptLines[[#This Row],[Quantity]]*tbl_ReceiptLines[[#This Row],[Unit_Price]]</f>
        <v>9.3800000000000008</v>
      </c>
      <c r="J30" s="3"/>
      <c r="K30" s="3"/>
      <c r="L30" s="4"/>
      <c r="M30" s="7">
        <f>tbl_ReceiptLines[[#This Row],[Line_Total]]-tbl_ReceiptLines[[#This Row],[Discount_Info]]</f>
        <v>9.3800000000000008</v>
      </c>
      <c r="N30" s="3" t="s">
        <v>126</v>
      </c>
    </row>
    <row r="31" spans="1:14" x14ac:dyDescent="0.3">
      <c r="A31" s="3" t="s">
        <v>29</v>
      </c>
      <c r="B31" s="5" t="s">
        <v>30</v>
      </c>
      <c r="C31">
        <v>22</v>
      </c>
      <c r="D31" s="3" t="s">
        <v>127</v>
      </c>
      <c r="E31" s="3"/>
      <c r="F31" s="3">
        <v>1</v>
      </c>
      <c r="G31" s="3"/>
      <c r="H31" s="4"/>
      <c r="I31" s="4">
        <v>0.99</v>
      </c>
      <c r="J31" s="3"/>
      <c r="K31" s="3"/>
      <c r="L31" s="4"/>
      <c r="M31" s="7">
        <f>tbl_ReceiptLines[[#This Row],[Line_Total]]-tbl_ReceiptLines[[#This Row],[Discount_Info]]</f>
        <v>0.99</v>
      </c>
      <c r="N31" s="3"/>
    </row>
    <row r="32" spans="1:14" x14ac:dyDescent="0.3">
      <c r="A32" s="3" t="s">
        <v>29</v>
      </c>
      <c r="B32" s="5" t="s">
        <v>30</v>
      </c>
      <c r="C32">
        <v>23</v>
      </c>
      <c r="D32" s="3" t="s">
        <v>272</v>
      </c>
      <c r="E32" s="3"/>
      <c r="F32" s="3">
        <v>82</v>
      </c>
      <c r="G32" s="3"/>
      <c r="H32" s="4">
        <v>0.1</v>
      </c>
      <c r="I32" s="4">
        <f>tbl_ReceiptLines[[#This Row],[Quantity]]*tbl_ReceiptLines[[#This Row],[Unit_Price]]</f>
        <v>8.2000000000000011</v>
      </c>
      <c r="J32" s="3"/>
      <c r="K32" s="3"/>
      <c r="L32" s="4"/>
      <c r="M32" s="7">
        <f>tbl_ReceiptLines[[#This Row],[Line_Total]]-tbl_ReceiptLines[[#This Row],[Discount_Info]]</f>
        <v>8.2000000000000011</v>
      </c>
      <c r="N32" s="3"/>
    </row>
    <row r="33" spans="1:14" x14ac:dyDescent="0.3">
      <c r="A33" s="3" t="s">
        <v>34</v>
      </c>
      <c r="B33" s="5" t="s">
        <v>35</v>
      </c>
      <c r="C33" s="3">
        <v>1</v>
      </c>
      <c r="D33" s="3" t="s">
        <v>128</v>
      </c>
      <c r="E33" s="3" t="s">
        <v>129</v>
      </c>
      <c r="F33" s="3">
        <v>1</v>
      </c>
      <c r="G33" s="3" t="s">
        <v>129</v>
      </c>
      <c r="H33" s="4">
        <v>2.99</v>
      </c>
      <c r="I33" s="4">
        <v>2.99</v>
      </c>
      <c r="J33" s="3" t="s">
        <v>130</v>
      </c>
      <c r="K33" s="3"/>
      <c r="L33" s="4"/>
      <c r="M33" s="7">
        <f>tbl_ReceiptLines[[#This Row],[Line_Total]]-tbl_ReceiptLines[[#This Row],[Discount_Info]]</f>
        <v>2.99</v>
      </c>
      <c r="N33" s="3"/>
    </row>
    <row r="34" spans="1:14" x14ac:dyDescent="0.3">
      <c r="A34" s="3" t="s">
        <v>34</v>
      </c>
      <c r="B34" s="5" t="s">
        <v>35</v>
      </c>
      <c r="C34" s="3">
        <v>2</v>
      </c>
      <c r="D34" s="3" t="s">
        <v>131</v>
      </c>
      <c r="E34" s="3" t="s">
        <v>132</v>
      </c>
      <c r="F34" s="3">
        <v>1</v>
      </c>
      <c r="G34" s="3" t="s">
        <v>132</v>
      </c>
      <c r="H34" s="4">
        <v>9.99</v>
      </c>
      <c r="I34" s="4">
        <v>9.99</v>
      </c>
      <c r="J34" s="3" t="s">
        <v>133</v>
      </c>
      <c r="K34" s="3"/>
      <c r="L34" s="4"/>
      <c r="M34" s="7">
        <f>tbl_ReceiptLines[[#This Row],[Line_Total]]-tbl_ReceiptLines[[#This Row],[Discount_Info]]</f>
        <v>9.99</v>
      </c>
      <c r="N34" s="3"/>
    </row>
    <row r="35" spans="1:14" x14ac:dyDescent="0.3">
      <c r="A35" s="3" t="s">
        <v>34</v>
      </c>
      <c r="B35" s="5" t="s">
        <v>35</v>
      </c>
      <c r="C35" s="3">
        <v>3</v>
      </c>
      <c r="D35" s="3" t="s">
        <v>134</v>
      </c>
      <c r="E35" s="3"/>
      <c r="F35" s="3">
        <v>1</v>
      </c>
      <c r="G35" s="3"/>
      <c r="H35" s="4">
        <v>4.99</v>
      </c>
      <c r="I35" s="4">
        <v>4.99</v>
      </c>
      <c r="J35" s="3" t="s">
        <v>135</v>
      </c>
      <c r="K35" s="3"/>
      <c r="L35" s="4"/>
      <c r="M35" s="7">
        <f>tbl_ReceiptLines[[#This Row],[Line_Total]]-tbl_ReceiptLines[[#This Row],[Discount_Info]]</f>
        <v>4.99</v>
      </c>
      <c r="N35" s="3"/>
    </row>
    <row r="36" spans="1:14" x14ac:dyDescent="0.3">
      <c r="A36" s="3" t="s">
        <v>39</v>
      </c>
      <c r="B36" s="5" t="s">
        <v>40</v>
      </c>
      <c r="C36" s="3">
        <v>1</v>
      </c>
      <c r="D36" s="3" t="s">
        <v>136</v>
      </c>
      <c r="E36" s="3"/>
      <c r="F36" s="3">
        <v>1</v>
      </c>
      <c r="G36" s="3"/>
      <c r="H36" s="4">
        <v>23.19</v>
      </c>
      <c r="I36" s="4">
        <v>23.19</v>
      </c>
      <c r="J36" s="3" t="s">
        <v>137</v>
      </c>
      <c r="K36" s="3"/>
      <c r="L36" s="4"/>
      <c r="M36" s="7">
        <f>tbl_ReceiptLines[[#This Row],[Line_Total]]-tbl_ReceiptLines[[#This Row],[Discount_Info]]</f>
        <v>23.19</v>
      </c>
      <c r="N36" s="3"/>
    </row>
    <row r="37" spans="1:14" x14ac:dyDescent="0.3">
      <c r="A37" s="3" t="s">
        <v>43</v>
      </c>
      <c r="B37" s="5" t="s">
        <v>44</v>
      </c>
      <c r="C37" s="3">
        <v>1</v>
      </c>
      <c r="D37" s="3" t="s">
        <v>138</v>
      </c>
      <c r="E37" s="3" t="s">
        <v>139</v>
      </c>
      <c r="F37" s="3">
        <v>7</v>
      </c>
      <c r="G37" s="3" t="s">
        <v>140</v>
      </c>
      <c r="H37" s="4">
        <v>38</v>
      </c>
      <c r="I37" s="4">
        <v>266</v>
      </c>
      <c r="J37" s="3" t="s">
        <v>141</v>
      </c>
      <c r="K37" s="3"/>
      <c r="L37" s="4"/>
      <c r="M37" s="7">
        <f>tbl_ReceiptLines[[#This Row],[Line_Total]]-tbl_ReceiptLines[[#This Row],[Discount_Info]]</f>
        <v>266</v>
      </c>
      <c r="N37" s="3"/>
    </row>
    <row r="38" spans="1:14" x14ac:dyDescent="0.3">
      <c r="A38" s="3" t="s">
        <v>43</v>
      </c>
      <c r="B38" s="5" t="s">
        <v>44</v>
      </c>
      <c r="C38" s="3">
        <v>2</v>
      </c>
      <c r="D38" s="3" t="s">
        <v>142</v>
      </c>
      <c r="E38" s="3"/>
      <c r="F38" s="3">
        <v>1</v>
      </c>
      <c r="G38" s="3"/>
      <c r="H38" s="4"/>
      <c r="I38" s="4">
        <v>22.5</v>
      </c>
      <c r="J38" s="3"/>
      <c r="K38" s="3"/>
      <c r="L38" s="4"/>
      <c r="M38" s="7">
        <f>tbl_ReceiptLines[[#This Row],[Line_Total]]-tbl_ReceiptLines[[#This Row],[Discount_Info]]</f>
        <v>22.5</v>
      </c>
      <c r="N38" s="3"/>
    </row>
    <row r="39" spans="1:14" x14ac:dyDescent="0.3">
      <c r="A39" s="3" t="s">
        <v>50</v>
      </c>
      <c r="B39" s="5" t="s">
        <v>51</v>
      </c>
      <c r="C39" s="3">
        <v>1</v>
      </c>
      <c r="D39" s="3" t="s">
        <v>143</v>
      </c>
      <c r="E39" s="3" t="s">
        <v>144</v>
      </c>
      <c r="F39" s="3">
        <v>1</v>
      </c>
      <c r="G39" s="3"/>
      <c r="H39" s="4">
        <v>19.989999999999998</v>
      </c>
      <c r="I39" s="4">
        <v>19.989999999999998</v>
      </c>
      <c r="J39" s="3" t="s">
        <v>145</v>
      </c>
      <c r="K39" s="3"/>
      <c r="L39" s="4"/>
      <c r="M39" s="7">
        <f>tbl_ReceiptLines[[#This Row],[Line_Total]]-tbl_ReceiptLines[[#This Row],[Discount_Info]]</f>
        <v>19.989999999999998</v>
      </c>
      <c r="N39" s="3"/>
    </row>
    <row r="40" spans="1:14" x14ac:dyDescent="0.3">
      <c r="A40" s="3" t="s">
        <v>50</v>
      </c>
      <c r="B40" s="5" t="s">
        <v>51</v>
      </c>
      <c r="C40" s="3">
        <v>2</v>
      </c>
      <c r="D40" s="3" t="s">
        <v>146</v>
      </c>
      <c r="E40" s="3"/>
      <c r="F40" s="3">
        <v>1</v>
      </c>
      <c r="G40" s="3"/>
      <c r="H40" s="4">
        <v>9.99</v>
      </c>
      <c r="I40" s="4">
        <v>9.99</v>
      </c>
      <c r="J40" s="3" t="s">
        <v>147</v>
      </c>
      <c r="K40" s="3"/>
      <c r="L40" s="4"/>
      <c r="M40" s="7">
        <f>tbl_ReceiptLines[[#This Row],[Line_Total]]-tbl_ReceiptLines[[#This Row],[Discount_Info]]</f>
        <v>9.99</v>
      </c>
      <c r="N40" s="3"/>
    </row>
    <row r="41" spans="1:14" x14ac:dyDescent="0.3">
      <c r="A41" s="3" t="s">
        <v>50</v>
      </c>
      <c r="B41" s="5" t="s">
        <v>51</v>
      </c>
      <c r="C41" s="3">
        <v>3</v>
      </c>
      <c r="D41" s="3" t="s">
        <v>148</v>
      </c>
      <c r="E41" s="3" t="s">
        <v>149</v>
      </c>
      <c r="F41" s="3">
        <v>1</v>
      </c>
      <c r="G41" s="3"/>
      <c r="H41" s="4">
        <v>23.99</v>
      </c>
      <c r="I41" s="4">
        <v>23.99</v>
      </c>
      <c r="J41" s="3" t="s">
        <v>150</v>
      </c>
      <c r="K41" s="3"/>
      <c r="L41" s="4"/>
      <c r="M41" s="7">
        <f>tbl_ReceiptLines[[#This Row],[Line_Total]]-tbl_ReceiptLines[[#This Row],[Discount_Info]]</f>
        <v>23.99</v>
      </c>
      <c r="N41" s="3"/>
    </row>
    <row r="42" spans="1:14" x14ac:dyDescent="0.3">
      <c r="A42" s="3" t="s">
        <v>50</v>
      </c>
      <c r="B42" s="5" t="s">
        <v>51</v>
      </c>
      <c r="C42" s="3">
        <v>4</v>
      </c>
      <c r="D42" s="3" t="s">
        <v>151</v>
      </c>
      <c r="E42" s="3"/>
      <c r="F42" s="3">
        <v>1</v>
      </c>
      <c r="G42" s="3"/>
      <c r="H42" s="4">
        <v>24.99</v>
      </c>
      <c r="I42" s="4">
        <v>24.99</v>
      </c>
      <c r="J42" s="3" t="s">
        <v>152</v>
      </c>
      <c r="K42" s="3"/>
      <c r="L42" s="4"/>
      <c r="M42" s="7">
        <f>tbl_ReceiptLines[[#This Row],[Line_Total]]-tbl_ReceiptLines[[#This Row],[Discount_Info]]</f>
        <v>24.99</v>
      </c>
      <c r="N42" s="3"/>
    </row>
    <row r="43" spans="1:14" x14ac:dyDescent="0.3">
      <c r="A43" s="3" t="s">
        <v>50</v>
      </c>
      <c r="B43" s="5" t="s">
        <v>51</v>
      </c>
      <c r="C43" s="3">
        <v>5</v>
      </c>
      <c r="D43" s="3" t="s">
        <v>153</v>
      </c>
      <c r="E43" s="3"/>
      <c r="F43" s="3">
        <v>1</v>
      </c>
      <c r="G43" s="3"/>
      <c r="H43" s="4"/>
      <c r="I43" s="4">
        <v>4.99</v>
      </c>
      <c r="J43" s="3"/>
      <c r="K43" s="3"/>
      <c r="L43" s="4"/>
      <c r="M43" s="7">
        <f>tbl_ReceiptLines[[#This Row],[Line_Total]]-tbl_ReceiptLines[[#This Row],[Discount_Info]]</f>
        <v>4.99</v>
      </c>
      <c r="N43" s="3"/>
    </row>
    <row r="44" spans="1:14" x14ac:dyDescent="0.3">
      <c r="A44" s="3" t="s">
        <v>57</v>
      </c>
      <c r="B44" s="5" t="s">
        <v>58</v>
      </c>
      <c r="C44" s="3">
        <v>1</v>
      </c>
      <c r="D44" s="3" t="s">
        <v>154</v>
      </c>
      <c r="E44" s="3" t="s">
        <v>155</v>
      </c>
      <c r="F44" s="3">
        <v>1</v>
      </c>
      <c r="G44" s="3" t="s">
        <v>156</v>
      </c>
      <c r="H44" s="4">
        <f>tbl_ReceiptLines[[#This Row],[Line_Total]]/tbl_ReceiptLines[[#This Row],[Quantity]]</f>
        <v>4.99</v>
      </c>
      <c r="I44" s="4">
        <v>4.99</v>
      </c>
      <c r="J44" s="3"/>
      <c r="K44" s="3"/>
      <c r="L44" s="7">
        <v>4.99</v>
      </c>
      <c r="M44" s="7">
        <f>tbl_ReceiptLines[[#This Row],[Line_Total]]-tbl_ReceiptLines[[#This Row],[Discount_Info]]</f>
        <v>0</v>
      </c>
      <c r="N44" s="3"/>
    </row>
    <row r="45" spans="1:14" x14ac:dyDescent="0.3">
      <c r="A45" s="3" t="s">
        <v>57</v>
      </c>
      <c r="B45" s="5" t="s">
        <v>58</v>
      </c>
      <c r="C45" s="3">
        <v>2</v>
      </c>
      <c r="D45" s="3" t="s">
        <v>157</v>
      </c>
      <c r="E45" s="3" t="s">
        <v>155</v>
      </c>
      <c r="F45" s="3">
        <v>2</v>
      </c>
      <c r="G45" s="3" t="s">
        <v>156</v>
      </c>
      <c r="H45" s="4">
        <f>tbl_ReceiptLines[[#This Row],[Line_Total]]/tbl_ReceiptLines[[#This Row],[Quantity]]</f>
        <v>5.49</v>
      </c>
      <c r="I45" s="4">
        <v>10.98</v>
      </c>
      <c r="J45" s="3"/>
      <c r="K45" s="3"/>
      <c r="L45" s="7">
        <v>2</v>
      </c>
      <c r="M45" s="7">
        <f>tbl_ReceiptLines[[#This Row],[Line_Total]]-tbl_ReceiptLines[[#This Row],[Discount_Info]]</f>
        <v>8.98</v>
      </c>
      <c r="N45" s="3" t="s">
        <v>158</v>
      </c>
    </row>
    <row r="46" spans="1:14" x14ac:dyDescent="0.3">
      <c r="A46" s="3" t="s">
        <v>57</v>
      </c>
      <c r="B46" s="5" t="s">
        <v>58</v>
      </c>
      <c r="C46" s="3">
        <v>3</v>
      </c>
      <c r="D46" s="3" t="s">
        <v>104</v>
      </c>
      <c r="E46" s="3" t="s">
        <v>159</v>
      </c>
      <c r="F46" s="3">
        <v>1</v>
      </c>
      <c r="G46" s="3" t="s">
        <v>160</v>
      </c>
      <c r="H46" s="4">
        <f>tbl_ReceiptLines[[#This Row],[Line_Total]]/tbl_ReceiptLines[[#This Row],[Quantity]]</f>
        <v>0.89</v>
      </c>
      <c r="I46" s="4">
        <v>0.89</v>
      </c>
      <c r="J46" s="3"/>
      <c r="K46" s="3"/>
      <c r="L46" s="4"/>
      <c r="M46" s="7">
        <f>tbl_ReceiptLines[[#This Row],[Line_Total]]-tbl_ReceiptLines[[#This Row],[Discount_Info]]</f>
        <v>0.89</v>
      </c>
      <c r="N46" s="3"/>
    </row>
    <row r="47" spans="1:14" x14ac:dyDescent="0.3">
      <c r="A47" s="3" t="s">
        <v>57</v>
      </c>
      <c r="B47" s="5" t="s">
        <v>58</v>
      </c>
      <c r="C47" s="3">
        <v>4</v>
      </c>
      <c r="D47" s="3" t="s">
        <v>161</v>
      </c>
      <c r="E47" s="3" t="s">
        <v>162</v>
      </c>
      <c r="F47" s="3">
        <v>1</v>
      </c>
      <c r="G47" s="3" t="s">
        <v>163</v>
      </c>
      <c r="H47" s="4">
        <f>tbl_ReceiptLines[[#This Row],[Line_Total]]/tbl_ReceiptLines[[#This Row],[Quantity]]</f>
        <v>0.99</v>
      </c>
      <c r="I47" s="4">
        <v>0.99</v>
      </c>
      <c r="J47" s="3"/>
      <c r="K47" s="3"/>
      <c r="L47" s="4"/>
      <c r="M47" s="7">
        <f>tbl_ReceiptLines[[#This Row],[Line_Total]]-tbl_ReceiptLines[[#This Row],[Discount_Info]]</f>
        <v>0.99</v>
      </c>
      <c r="N47" s="3"/>
    </row>
    <row r="48" spans="1:14" x14ac:dyDescent="0.3">
      <c r="A48" s="3" t="s">
        <v>57</v>
      </c>
      <c r="B48" s="5" t="s">
        <v>58</v>
      </c>
      <c r="C48" s="3">
        <v>5</v>
      </c>
      <c r="D48" s="3" t="s">
        <v>164</v>
      </c>
      <c r="E48" s="3" t="s">
        <v>165</v>
      </c>
      <c r="F48" s="3">
        <v>1</v>
      </c>
      <c r="G48" s="3" t="s">
        <v>166</v>
      </c>
      <c r="H48" s="4">
        <f>tbl_ReceiptLines[[#This Row],[Line_Total]]/tbl_ReceiptLines[[#This Row],[Quantity]]</f>
        <v>1.99</v>
      </c>
      <c r="I48" s="4">
        <v>1.99</v>
      </c>
      <c r="J48" s="3"/>
      <c r="K48" s="3"/>
      <c r="L48" s="4"/>
      <c r="M48" s="7">
        <f>tbl_ReceiptLines[[#This Row],[Line_Total]]-tbl_ReceiptLines[[#This Row],[Discount_Info]]</f>
        <v>1.99</v>
      </c>
      <c r="N48" s="3"/>
    </row>
    <row r="49" spans="1:14" x14ac:dyDescent="0.3">
      <c r="A49" s="3" t="s">
        <v>57</v>
      </c>
      <c r="B49" s="5" t="s">
        <v>58</v>
      </c>
      <c r="C49" s="3">
        <v>6</v>
      </c>
      <c r="D49" s="3" t="s">
        <v>167</v>
      </c>
      <c r="E49" s="3" t="s">
        <v>168</v>
      </c>
      <c r="F49" s="3">
        <v>1</v>
      </c>
      <c r="G49" s="3" t="s">
        <v>169</v>
      </c>
      <c r="H49" s="4">
        <f>tbl_ReceiptLines[[#This Row],[Line_Total]]/tbl_ReceiptLines[[#This Row],[Quantity]]</f>
        <v>2.89</v>
      </c>
      <c r="I49" s="4">
        <v>2.89</v>
      </c>
      <c r="J49" s="3"/>
      <c r="K49" s="3"/>
      <c r="L49" s="4"/>
      <c r="M49" s="7">
        <f>tbl_ReceiptLines[[#This Row],[Line_Total]]-tbl_ReceiptLines[[#This Row],[Discount_Info]]</f>
        <v>2.89</v>
      </c>
      <c r="N49" s="3"/>
    </row>
    <row r="50" spans="1:14" x14ac:dyDescent="0.3">
      <c r="A50" s="3" t="s">
        <v>57</v>
      </c>
      <c r="B50" s="5" t="s">
        <v>58</v>
      </c>
      <c r="C50" s="3">
        <v>7</v>
      </c>
      <c r="D50" s="3" t="s">
        <v>170</v>
      </c>
      <c r="E50" s="3" t="s">
        <v>171</v>
      </c>
      <c r="F50" s="3">
        <v>1</v>
      </c>
      <c r="G50" s="3" t="s">
        <v>172</v>
      </c>
      <c r="H50" s="4">
        <f>tbl_ReceiptLines[[#This Row],[Line_Total]]/tbl_ReceiptLines[[#This Row],[Quantity]]</f>
        <v>1.29</v>
      </c>
      <c r="I50" s="4">
        <v>1.29</v>
      </c>
      <c r="J50" s="3"/>
      <c r="K50" s="3"/>
      <c r="L50" s="4"/>
      <c r="M50" s="7">
        <f>tbl_ReceiptLines[[#This Row],[Line_Total]]-tbl_ReceiptLines[[#This Row],[Discount_Info]]</f>
        <v>1.29</v>
      </c>
      <c r="N50" s="3"/>
    </row>
    <row r="51" spans="1:14" x14ac:dyDescent="0.3">
      <c r="A51" s="3" t="s">
        <v>57</v>
      </c>
      <c r="B51" s="5" t="s">
        <v>58</v>
      </c>
      <c r="C51" s="3">
        <v>8</v>
      </c>
      <c r="D51" s="3" t="s">
        <v>173</v>
      </c>
      <c r="E51" s="3" t="s">
        <v>174</v>
      </c>
      <c r="F51" s="3">
        <v>1</v>
      </c>
      <c r="G51" s="3" t="s">
        <v>175</v>
      </c>
      <c r="H51" s="4">
        <f>tbl_ReceiptLines[[#This Row],[Line_Total]]/tbl_ReceiptLines[[#This Row],[Quantity]]</f>
        <v>1.89</v>
      </c>
      <c r="I51" s="4">
        <v>1.89</v>
      </c>
      <c r="J51" s="3"/>
      <c r="K51" s="3"/>
      <c r="L51" s="4"/>
      <c r="M51" s="7">
        <f>tbl_ReceiptLines[[#This Row],[Line_Total]]-tbl_ReceiptLines[[#This Row],[Discount_Info]]</f>
        <v>1.89</v>
      </c>
      <c r="N51" s="3"/>
    </row>
    <row r="52" spans="1:14" x14ac:dyDescent="0.3">
      <c r="A52" s="3" t="s">
        <v>57</v>
      </c>
      <c r="B52" s="5" t="s">
        <v>58</v>
      </c>
      <c r="C52" s="3">
        <v>9</v>
      </c>
      <c r="D52" s="3" t="s">
        <v>176</v>
      </c>
      <c r="E52" s="3" t="s">
        <v>177</v>
      </c>
      <c r="F52" s="3">
        <v>1</v>
      </c>
      <c r="G52" s="3" t="s">
        <v>178</v>
      </c>
      <c r="H52" s="4">
        <f>tbl_ReceiptLines[[#This Row],[Line_Total]]/tbl_ReceiptLines[[#This Row],[Quantity]]</f>
        <v>3.69</v>
      </c>
      <c r="I52" s="4">
        <v>3.69</v>
      </c>
      <c r="J52" s="3"/>
      <c r="K52" s="3"/>
      <c r="L52" s="4"/>
      <c r="M52" s="7">
        <f>tbl_ReceiptLines[[#This Row],[Line_Total]]-tbl_ReceiptLines[[#This Row],[Discount_Info]]</f>
        <v>3.69</v>
      </c>
      <c r="N52" s="3"/>
    </row>
    <row r="53" spans="1:14" x14ac:dyDescent="0.3">
      <c r="A53" s="3" t="s">
        <v>57</v>
      </c>
      <c r="B53" s="5" t="s">
        <v>58</v>
      </c>
      <c r="C53" s="3">
        <v>10</v>
      </c>
      <c r="D53" s="3" t="s">
        <v>179</v>
      </c>
      <c r="E53" s="3" t="s">
        <v>180</v>
      </c>
      <c r="F53" s="3">
        <v>1</v>
      </c>
      <c r="G53" s="3" t="s">
        <v>181</v>
      </c>
      <c r="H53" s="4">
        <f>tbl_ReceiptLines[[#This Row],[Line_Total]]/tbl_ReceiptLines[[#This Row],[Quantity]]</f>
        <v>2.39</v>
      </c>
      <c r="I53" s="4">
        <v>2.39</v>
      </c>
      <c r="J53" s="3"/>
      <c r="K53" s="3"/>
      <c r="L53" s="4"/>
      <c r="M53" s="7">
        <f>tbl_ReceiptLines[[#This Row],[Line_Total]]-tbl_ReceiptLines[[#This Row],[Discount_Info]]</f>
        <v>2.39</v>
      </c>
      <c r="N53" s="3"/>
    </row>
    <row r="54" spans="1:14" x14ac:dyDescent="0.3">
      <c r="A54" s="3" t="s">
        <v>57</v>
      </c>
      <c r="B54" s="5" t="s">
        <v>58</v>
      </c>
      <c r="C54" s="3">
        <v>11</v>
      </c>
      <c r="D54" s="3" t="s">
        <v>182</v>
      </c>
      <c r="E54" s="3" t="s">
        <v>183</v>
      </c>
      <c r="F54" s="3">
        <v>1</v>
      </c>
      <c r="G54" s="3" t="s">
        <v>184</v>
      </c>
      <c r="H54" s="4">
        <f>tbl_ReceiptLines[[#This Row],[Line_Total]]/tbl_ReceiptLines[[#This Row],[Quantity]]</f>
        <v>9.7899999999999991</v>
      </c>
      <c r="I54" s="4">
        <v>9.7899999999999991</v>
      </c>
      <c r="J54" s="3"/>
      <c r="K54" s="3"/>
      <c r="L54" s="4"/>
      <c r="M54" s="7">
        <f>tbl_ReceiptLines[[#This Row],[Line_Total]]-tbl_ReceiptLines[[#This Row],[Discount_Info]]</f>
        <v>9.7899999999999991</v>
      </c>
      <c r="N54" s="3"/>
    </row>
    <row r="55" spans="1:14" x14ac:dyDescent="0.3">
      <c r="A55" s="3" t="s">
        <v>57</v>
      </c>
      <c r="B55" s="5" t="s">
        <v>58</v>
      </c>
      <c r="C55" s="3">
        <v>12</v>
      </c>
      <c r="D55" s="3" t="s">
        <v>185</v>
      </c>
      <c r="E55" s="3" t="s">
        <v>186</v>
      </c>
      <c r="F55" s="3">
        <v>1</v>
      </c>
      <c r="G55" s="3" t="s">
        <v>187</v>
      </c>
      <c r="H55" s="4">
        <f>tbl_ReceiptLines[[#This Row],[Line_Total]]/tbl_ReceiptLines[[#This Row],[Quantity]]</f>
        <v>2.4900000000000002</v>
      </c>
      <c r="I55" s="4">
        <v>2.4900000000000002</v>
      </c>
      <c r="J55" s="3"/>
      <c r="K55" s="3"/>
      <c r="L55" s="4"/>
      <c r="M55" s="7">
        <f>tbl_ReceiptLines[[#This Row],[Line_Total]]-tbl_ReceiptLines[[#This Row],[Discount_Info]]</f>
        <v>2.4900000000000002</v>
      </c>
      <c r="N55" s="3"/>
    </row>
    <row r="56" spans="1:14" x14ac:dyDescent="0.3">
      <c r="A56" s="3" t="s">
        <v>57</v>
      </c>
      <c r="B56" s="5" t="s">
        <v>58</v>
      </c>
      <c r="C56" s="3">
        <v>13</v>
      </c>
      <c r="D56" s="3" t="s">
        <v>188</v>
      </c>
      <c r="E56" s="3" t="s">
        <v>186</v>
      </c>
      <c r="F56" s="3">
        <v>1</v>
      </c>
      <c r="G56" s="3" t="s">
        <v>187</v>
      </c>
      <c r="H56" s="4">
        <f>tbl_ReceiptLines[[#This Row],[Line_Total]]/tbl_ReceiptLines[[#This Row],[Quantity]]</f>
        <v>2.4900000000000002</v>
      </c>
      <c r="I56" s="4">
        <v>2.4900000000000002</v>
      </c>
      <c r="J56" s="3"/>
      <c r="K56" s="3"/>
      <c r="L56" s="4"/>
      <c r="M56" s="7">
        <f>tbl_ReceiptLines[[#This Row],[Line_Total]]-tbl_ReceiptLines[[#This Row],[Discount_Info]]</f>
        <v>2.4900000000000002</v>
      </c>
      <c r="N56" s="3"/>
    </row>
    <row r="57" spans="1:14" x14ac:dyDescent="0.3">
      <c r="A57" s="3" t="s">
        <v>57</v>
      </c>
      <c r="B57" s="5" t="s">
        <v>58</v>
      </c>
      <c r="C57" s="3">
        <v>14</v>
      </c>
      <c r="D57" s="3" t="s">
        <v>189</v>
      </c>
      <c r="E57" s="3" t="s">
        <v>190</v>
      </c>
      <c r="F57" s="3">
        <v>1</v>
      </c>
      <c r="G57" s="3" t="s">
        <v>190</v>
      </c>
      <c r="H57" s="4">
        <f>tbl_ReceiptLines[[#This Row],[Line_Total]]/tbl_ReceiptLines[[#This Row],[Quantity]]</f>
        <v>3.99</v>
      </c>
      <c r="I57" s="4">
        <v>3.99</v>
      </c>
      <c r="J57" s="3"/>
      <c r="K57" s="3"/>
      <c r="L57" s="4"/>
      <c r="M57" s="7">
        <f>tbl_ReceiptLines[[#This Row],[Line_Total]]-tbl_ReceiptLines[[#This Row],[Discount_Info]]</f>
        <v>3.99</v>
      </c>
      <c r="N57" s="3"/>
    </row>
    <row r="58" spans="1:14" x14ac:dyDescent="0.3">
      <c r="A58" s="3" t="s">
        <v>57</v>
      </c>
      <c r="B58" s="5" t="s">
        <v>58</v>
      </c>
      <c r="C58" s="3">
        <v>15</v>
      </c>
      <c r="D58" s="3" t="s">
        <v>191</v>
      </c>
      <c r="E58" s="3" t="s">
        <v>192</v>
      </c>
      <c r="F58" s="3">
        <v>1</v>
      </c>
      <c r="G58" s="3" t="s">
        <v>193</v>
      </c>
      <c r="H58" s="4">
        <f>tbl_ReceiptLines[[#This Row],[Line_Total]]/tbl_ReceiptLines[[#This Row],[Quantity]]</f>
        <v>0</v>
      </c>
      <c r="I58" s="4">
        <v>0</v>
      </c>
      <c r="J58" s="3"/>
      <c r="K58" s="3"/>
      <c r="L58" s="4"/>
      <c r="M58" s="7">
        <f>tbl_ReceiptLines[[#This Row],[Line_Total]]-tbl_ReceiptLines[[#This Row],[Discount_Info]]</f>
        <v>0</v>
      </c>
      <c r="N58" s="3" t="s">
        <v>194</v>
      </c>
    </row>
    <row r="59" spans="1:14" x14ac:dyDescent="0.3">
      <c r="A59" s="3" t="s">
        <v>57</v>
      </c>
      <c r="B59" s="5" t="s">
        <v>58</v>
      </c>
      <c r="C59" s="3">
        <v>16</v>
      </c>
      <c r="D59" s="3" t="s">
        <v>195</v>
      </c>
      <c r="E59" s="3" t="s">
        <v>196</v>
      </c>
      <c r="F59" s="3">
        <v>1</v>
      </c>
      <c r="G59" s="3" t="s">
        <v>197</v>
      </c>
      <c r="H59" s="4">
        <f>tbl_ReceiptLines[[#This Row],[Line_Total]]/tbl_ReceiptLines[[#This Row],[Quantity]]</f>
        <v>3.38</v>
      </c>
      <c r="I59" s="4">
        <v>3.38</v>
      </c>
      <c r="J59" s="3"/>
      <c r="K59" s="3"/>
      <c r="L59" s="7">
        <v>1.02</v>
      </c>
      <c r="M59" s="7">
        <f>tbl_ReceiptLines[[#This Row],[Line_Total]]-tbl_ReceiptLines[[#This Row],[Discount_Info]]</f>
        <v>2.36</v>
      </c>
      <c r="N59" s="3" t="s">
        <v>198</v>
      </c>
    </row>
    <row r="60" spans="1:14" x14ac:dyDescent="0.3">
      <c r="A60" s="3" t="s">
        <v>57</v>
      </c>
      <c r="B60" s="5" t="s">
        <v>58</v>
      </c>
      <c r="C60" s="3">
        <v>17</v>
      </c>
      <c r="D60" s="3" t="s">
        <v>199</v>
      </c>
      <c r="E60" s="3" t="s">
        <v>200</v>
      </c>
      <c r="F60" s="3">
        <v>1</v>
      </c>
      <c r="G60" s="3" t="s">
        <v>201</v>
      </c>
      <c r="H60" s="4">
        <f>tbl_ReceiptLines[[#This Row],[Line_Total]]/tbl_ReceiptLines[[#This Row],[Quantity]]</f>
        <v>2.4900000000000002</v>
      </c>
      <c r="I60" s="4">
        <v>2.4900000000000002</v>
      </c>
      <c r="J60" s="3"/>
      <c r="K60" s="3"/>
      <c r="L60" s="7">
        <v>0.2</v>
      </c>
      <c r="M60" s="7">
        <f>tbl_ReceiptLines[[#This Row],[Line_Total]]-tbl_ReceiptLines[[#This Row],[Discount_Info]]</f>
        <v>2.29</v>
      </c>
      <c r="N60" s="3"/>
    </row>
    <row r="61" spans="1:14" x14ac:dyDescent="0.3">
      <c r="A61" s="3" t="s">
        <v>57</v>
      </c>
      <c r="B61" s="5" t="s">
        <v>58</v>
      </c>
      <c r="C61" s="3">
        <v>18</v>
      </c>
      <c r="D61" s="3" t="s">
        <v>202</v>
      </c>
      <c r="E61" s="3" t="s">
        <v>203</v>
      </c>
      <c r="F61" s="3">
        <v>1</v>
      </c>
      <c r="G61" s="3" t="s">
        <v>204</v>
      </c>
      <c r="H61" s="4">
        <f>tbl_ReceiptLines[[#This Row],[Line_Total]]/tbl_ReceiptLines[[#This Row],[Quantity]]</f>
        <v>1.79</v>
      </c>
      <c r="I61" s="4">
        <v>1.79</v>
      </c>
      <c r="J61" s="3"/>
      <c r="K61" s="3"/>
      <c r="L61" s="7"/>
      <c r="M61" s="7">
        <f>tbl_ReceiptLines[[#This Row],[Line_Total]]-tbl_ReceiptLines[[#This Row],[Discount_Info]]</f>
        <v>1.79</v>
      </c>
      <c r="N61" s="3"/>
    </row>
    <row r="62" spans="1:14" x14ac:dyDescent="0.3">
      <c r="A62" s="3" t="s">
        <v>57</v>
      </c>
      <c r="B62" s="5" t="s">
        <v>58</v>
      </c>
      <c r="C62" s="3">
        <v>19</v>
      </c>
      <c r="D62" s="3" t="s">
        <v>205</v>
      </c>
      <c r="E62" s="3" t="s">
        <v>206</v>
      </c>
      <c r="F62" s="3">
        <v>1</v>
      </c>
      <c r="G62" s="3" t="s">
        <v>207</v>
      </c>
      <c r="H62" s="4">
        <f>tbl_ReceiptLines[[#This Row],[Line_Total]]/tbl_ReceiptLines[[#This Row],[Quantity]]</f>
        <v>3.89</v>
      </c>
      <c r="I62" s="4">
        <v>3.89</v>
      </c>
      <c r="J62" s="3"/>
      <c r="K62" s="3"/>
      <c r="L62" s="7"/>
      <c r="M62" s="7">
        <f>tbl_ReceiptLines[[#This Row],[Line_Total]]-tbl_ReceiptLines[[#This Row],[Discount_Info]]</f>
        <v>3.89</v>
      </c>
      <c r="N62" s="3"/>
    </row>
    <row r="63" spans="1:14" x14ac:dyDescent="0.3">
      <c r="A63" s="3" t="s">
        <v>57</v>
      </c>
      <c r="B63" s="5" t="s">
        <v>58</v>
      </c>
      <c r="C63" s="3">
        <v>20</v>
      </c>
      <c r="D63" s="3" t="s">
        <v>208</v>
      </c>
      <c r="E63" s="3" t="s">
        <v>200</v>
      </c>
      <c r="F63" s="3">
        <v>1</v>
      </c>
      <c r="G63" s="3" t="s">
        <v>201</v>
      </c>
      <c r="H63" s="4">
        <f>tbl_ReceiptLines[[#This Row],[Line_Total]]/tbl_ReceiptLines[[#This Row],[Quantity]]</f>
        <v>0.59</v>
      </c>
      <c r="I63" s="4">
        <v>0.59</v>
      </c>
      <c r="J63" s="3"/>
      <c r="K63" s="3"/>
      <c r="L63" s="7"/>
      <c r="M63" s="7">
        <f>tbl_ReceiptLines[[#This Row],[Line_Total]]-tbl_ReceiptLines[[#This Row],[Discount_Info]]</f>
        <v>0.59</v>
      </c>
      <c r="N63" s="3"/>
    </row>
    <row r="64" spans="1:14" x14ac:dyDescent="0.3">
      <c r="A64" s="3" t="s">
        <v>57</v>
      </c>
      <c r="B64" s="5" t="s">
        <v>58</v>
      </c>
      <c r="C64" s="3">
        <v>21</v>
      </c>
      <c r="D64" s="3" t="s">
        <v>209</v>
      </c>
      <c r="E64" s="3" t="s">
        <v>171</v>
      </c>
      <c r="F64" s="3">
        <v>1</v>
      </c>
      <c r="G64" s="3" t="s">
        <v>172</v>
      </c>
      <c r="H64" s="4">
        <f>tbl_ReceiptLines[[#This Row],[Line_Total]]/tbl_ReceiptLines[[#This Row],[Quantity]]</f>
        <v>4.79</v>
      </c>
      <c r="I64" s="4">
        <v>4.79</v>
      </c>
      <c r="J64" s="3"/>
      <c r="K64" s="3"/>
      <c r="L64" s="7"/>
      <c r="M64" s="7">
        <f>tbl_ReceiptLines[[#This Row],[Line_Total]]-tbl_ReceiptLines[[#This Row],[Discount_Info]]</f>
        <v>4.79</v>
      </c>
      <c r="N64" s="3"/>
    </row>
    <row r="65" spans="1:14" x14ac:dyDescent="0.3">
      <c r="A65" s="3" t="s">
        <v>57</v>
      </c>
      <c r="B65" s="5" t="s">
        <v>58</v>
      </c>
      <c r="C65" s="3">
        <v>22</v>
      </c>
      <c r="D65" s="3" t="s">
        <v>210</v>
      </c>
      <c r="E65" s="3" t="s">
        <v>200</v>
      </c>
      <c r="F65" s="3">
        <v>1</v>
      </c>
      <c r="G65" s="3" t="s">
        <v>201</v>
      </c>
      <c r="H65" s="4">
        <f>tbl_ReceiptLines[[#This Row],[Line_Total]]/tbl_ReceiptLines[[#This Row],[Quantity]]</f>
        <v>1.99</v>
      </c>
      <c r="I65" s="4">
        <v>1.99</v>
      </c>
      <c r="J65" s="3"/>
      <c r="K65" s="3"/>
      <c r="L65" s="7"/>
      <c r="M65" s="7">
        <f>tbl_ReceiptLines[[#This Row],[Line_Total]]-tbl_ReceiptLines[[#This Row],[Discount_Info]]</f>
        <v>1.99</v>
      </c>
      <c r="N65" s="3"/>
    </row>
    <row r="66" spans="1:14" x14ac:dyDescent="0.3">
      <c r="A66" s="3" t="s">
        <v>57</v>
      </c>
      <c r="B66" s="5" t="s">
        <v>58</v>
      </c>
      <c r="C66" s="3">
        <v>23</v>
      </c>
      <c r="D66" s="3" t="s">
        <v>211</v>
      </c>
      <c r="E66" s="3" t="s">
        <v>171</v>
      </c>
      <c r="F66" s="3">
        <v>1</v>
      </c>
      <c r="G66" s="3" t="s">
        <v>172</v>
      </c>
      <c r="H66" s="4">
        <f>tbl_ReceiptLines[[#This Row],[Line_Total]]/tbl_ReceiptLines[[#This Row],[Quantity]]</f>
        <v>2.19</v>
      </c>
      <c r="I66" s="4">
        <v>2.19</v>
      </c>
      <c r="J66" s="3"/>
      <c r="K66" s="3"/>
      <c r="L66" s="7">
        <v>0.44</v>
      </c>
      <c r="M66" s="7">
        <f>tbl_ReceiptLines[[#This Row],[Line_Total]]-tbl_ReceiptLines[[#This Row],[Discount_Info]]</f>
        <v>1.75</v>
      </c>
      <c r="N66" s="3" t="s">
        <v>212</v>
      </c>
    </row>
    <row r="67" spans="1:14" x14ac:dyDescent="0.3">
      <c r="A67" s="3" t="s">
        <v>57</v>
      </c>
      <c r="B67" s="5" t="s">
        <v>58</v>
      </c>
      <c r="C67" s="3">
        <v>24</v>
      </c>
      <c r="D67" s="3" t="s">
        <v>213</v>
      </c>
      <c r="E67" s="3" t="s">
        <v>214</v>
      </c>
      <c r="F67" s="3">
        <v>3</v>
      </c>
      <c r="G67" s="3" t="s">
        <v>215</v>
      </c>
      <c r="H67" s="4">
        <f>tbl_ReceiptLines[[#This Row],[Line_Total]]/tbl_ReceiptLines[[#This Row],[Quantity]]</f>
        <v>1.29</v>
      </c>
      <c r="I67" s="4">
        <v>3.87</v>
      </c>
      <c r="J67" s="3"/>
      <c r="K67" s="3"/>
      <c r="L67" s="7">
        <v>0.87</v>
      </c>
      <c r="M67" s="7">
        <f>tbl_ReceiptLines[[#This Row],[Line_Total]]-tbl_ReceiptLines[[#This Row],[Discount_Info]]</f>
        <v>3</v>
      </c>
      <c r="N67" s="3" t="s">
        <v>216</v>
      </c>
    </row>
    <row r="68" spans="1:14" x14ac:dyDescent="0.3">
      <c r="A68" s="3" t="s">
        <v>57</v>
      </c>
      <c r="B68" s="5" t="s">
        <v>58</v>
      </c>
      <c r="C68" s="3">
        <v>25</v>
      </c>
      <c r="D68" s="3" t="s">
        <v>217</v>
      </c>
      <c r="E68" s="3" t="s">
        <v>165</v>
      </c>
      <c r="F68" s="3">
        <v>1</v>
      </c>
      <c r="G68" s="3" t="s">
        <v>166</v>
      </c>
      <c r="H68" s="4">
        <f>tbl_ReceiptLines[[#This Row],[Line_Total]]/tbl_ReceiptLines[[#This Row],[Quantity]]</f>
        <v>3.49</v>
      </c>
      <c r="I68" s="4">
        <v>3.49</v>
      </c>
      <c r="J68" s="3"/>
      <c r="K68" s="3"/>
      <c r="L68" s="4"/>
      <c r="M68" s="7">
        <f>tbl_ReceiptLines[[#This Row],[Line_Total]]-tbl_ReceiptLines[[#This Row],[Discount_Info]]</f>
        <v>3.49</v>
      </c>
      <c r="N68" s="3"/>
    </row>
    <row r="69" spans="1:14" x14ac:dyDescent="0.3">
      <c r="A69" s="3" t="s">
        <v>57</v>
      </c>
      <c r="B69" s="5" t="s">
        <v>58</v>
      </c>
      <c r="C69" s="3">
        <v>26</v>
      </c>
      <c r="D69" s="3" t="s">
        <v>182</v>
      </c>
      <c r="E69" s="3" t="s">
        <v>218</v>
      </c>
      <c r="F69" s="3">
        <v>1</v>
      </c>
      <c r="G69" s="3" t="s">
        <v>218</v>
      </c>
      <c r="H69" s="4">
        <f>tbl_ReceiptLines[[#This Row],[Line_Total]]/tbl_ReceiptLines[[#This Row],[Quantity]]</f>
        <v>5.39</v>
      </c>
      <c r="I69" s="4">
        <v>5.39</v>
      </c>
      <c r="J69" s="3"/>
      <c r="K69" s="3"/>
      <c r="L69" s="4"/>
      <c r="M69" s="7">
        <f>tbl_ReceiptLines[[#This Row],[Line_Total]]-tbl_ReceiptLines[[#This Row],[Discount_Info]]</f>
        <v>5.39</v>
      </c>
      <c r="N69" s="3"/>
    </row>
    <row r="70" spans="1:14" x14ac:dyDescent="0.3">
      <c r="A70" s="3" t="s">
        <v>57</v>
      </c>
      <c r="B70" s="5" t="s">
        <v>58</v>
      </c>
      <c r="C70" s="3">
        <v>27</v>
      </c>
      <c r="D70" s="3" t="s">
        <v>219</v>
      </c>
      <c r="E70" s="3" t="s">
        <v>220</v>
      </c>
      <c r="F70" s="3">
        <v>1</v>
      </c>
      <c r="G70" s="3" t="s">
        <v>221</v>
      </c>
      <c r="H70" s="4">
        <f>tbl_ReceiptLines[[#This Row],[Line_Total]]/tbl_ReceiptLines[[#This Row],[Quantity]]</f>
        <v>2.88</v>
      </c>
      <c r="I70" s="4">
        <v>2.88</v>
      </c>
      <c r="J70" s="3"/>
      <c r="K70" s="3"/>
      <c r="L70" s="4"/>
      <c r="M70" s="7">
        <f>tbl_ReceiptLines[[#This Row],[Line_Total]]-tbl_ReceiptLines[[#This Row],[Discount_Info]]</f>
        <v>2.88</v>
      </c>
      <c r="N70" s="3"/>
    </row>
    <row r="71" spans="1:14" x14ac:dyDescent="0.3">
      <c r="A71" s="3" t="s">
        <v>57</v>
      </c>
      <c r="B71" s="5" t="s">
        <v>58</v>
      </c>
      <c r="C71" s="3">
        <v>28</v>
      </c>
      <c r="D71" s="3" t="s">
        <v>222</v>
      </c>
      <c r="E71" s="3" t="s">
        <v>223</v>
      </c>
      <c r="F71" s="3">
        <v>1</v>
      </c>
      <c r="G71" s="3" t="s">
        <v>224</v>
      </c>
      <c r="H71" s="4">
        <f>tbl_ReceiptLines[[#This Row],[Line_Total]]/tbl_ReceiptLines[[#This Row],[Quantity]]</f>
        <v>3.89</v>
      </c>
      <c r="I71" s="4">
        <v>3.89</v>
      </c>
      <c r="J71" s="3"/>
      <c r="K71" s="3"/>
      <c r="L71" s="4"/>
      <c r="M71" s="7">
        <f>tbl_ReceiptLines[[#This Row],[Line_Total]]-tbl_ReceiptLines[[#This Row],[Discount_Info]]</f>
        <v>3.89</v>
      </c>
      <c r="N71" s="3"/>
    </row>
    <row r="72" spans="1:14" x14ac:dyDescent="0.3">
      <c r="A72" s="3" t="s">
        <v>57</v>
      </c>
      <c r="B72" s="5" t="s">
        <v>58</v>
      </c>
      <c r="C72" s="3">
        <v>29</v>
      </c>
      <c r="D72" s="3" t="s">
        <v>225</v>
      </c>
      <c r="E72" s="3" t="s">
        <v>203</v>
      </c>
      <c r="F72" s="3">
        <v>3</v>
      </c>
      <c r="G72" s="3" t="s">
        <v>204</v>
      </c>
      <c r="H72" s="4">
        <f>tbl_ReceiptLines[[#This Row],[Line_Total]]/tbl_ReceiptLines[[#This Row],[Quantity]]</f>
        <v>1.5899999999999999</v>
      </c>
      <c r="I72" s="4">
        <v>4.7699999999999996</v>
      </c>
      <c r="J72" s="3"/>
      <c r="K72" s="3"/>
      <c r="L72" s="4"/>
      <c r="M72" s="7">
        <f>tbl_ReceiptLines[[#This Row],[Line_Total]]-tbl_ReceiptLines[[#This Row],[Discount_Info]]</f>
        <v>4.7699999999999996</v>
      </c>
      <c r="N72" s="3" t="s">
        <v>216</v>
      </c>
    </row>
    <row r="73" spans="1:14" x14ac:dyDescent="0.3">
      <c r="A73" s="3" t="s">
        <v>57</v>
      </c>
      <c r="B73" s="5" t="s">
        <v>58</v>
      </c>
      <c r="C73" s="3">
        <v>30</v>
      </c>
      <c r="D73" s="3" t="s">
        <v>226</v>
      </c>
      <c r="E73" s="3" t="s">
        <v>227</v>
      </c>
      <c r="F73" s="3">
        <v>2</v>
      </c>
      <c r="G73" s="3" t="s">
        <v>228</v>
      </c>
      <c r="H73" s="4">
        <f>tbl_ReceiptLines[[#This Row],[Line_Total]]/tbl_ReceiptLines[[#This Row],[Quantity]]</f>
        <v>3.29</v>
      </c>
      <c r="I73" s="4">
        <v>6.58</v>
      </c>
      <c r="J73" s="3"/>
      <c r="K73" s="3"/>
      <c r="L73" s="4"/>
      <c r="M73" s="7">
        <f>tbl_ReceiptLines[[#This Row],[Line_Total]]-tbl_ReceiptLines[[#This Row],[Discount_Info]]</f>
        <v>6.58</v>
      </c>
      <c r="N73" s="3" t="s">
        <v>229</v>
      </c>
    </row>
    <row r="74" spans="1:14" x14ac:dyDescent="0.3">
      <c r="A74" s="3" t="s">
        <v>57</v>
      </c>
      <c r="B74" s="5" t="s">
        <v>58</v>
      </c>
      <c r="C74" s="3">
        <v>31</v>
      </c>
      <c r="D74" s="3" t="s">
        <v>230</v>
      </c>
      <c r="E74" s="3" t="s">
        <v>231</v>
      </c>
      <c r="F74" s="3">
        <v>1</v>
      </c>
      <c r="G74" s="3" t="s">
        <v>232</v>
      </c>
      <c r="H74" s="4">
        <f>tbl_ReceiptLines[[#This Row],[Line_Total]]/tbl_ReceiptLines[[#This Row],[Quantity]]</f>
        <v>1.79</v>
      </c>
      <c r="I74" s="4">
        <v>1.79</v>
      </c>
      <c r="J74" s="3"/>
      <c r="K74" s="3"/>
      <c r="L74" s="4"/>
      <c r="M74" s="7">
        <f>tbl_ReceiptLines[[#This Row],[Line_Total]]-tbl_ReceiptLines[[#This Row],[Discount_Info]]</f>
        <v>1.79</v>
      </c>
      <c r="N74" s="3"/>
    </row>
    <row r="75" spans="1:14" x14ac:dyDescent="0.3">
      <c r="A75" s="3" t="s">
        <v>57</v>
      </c>
      <c r="B75" s="5" t="s">
        <v>58</v>
      </c>
      <c r="C75" s="3">
        <v>32</v>
      </c>
      <c r="D75" s="3" t="s">
        <v>233</v>
      </c>
      <c r="E75" s="3" t="s">
        <v>234</v>
      </c>
      <c r="F75" s="3">
        <v>1</v>
      </c>
      <c r="G75" s="3" t="s">
        <v>235</v>
      </c>
      <c r="H75" s="4">
        <f>tbl_ReceiptLines[[#This Row],[Line_Total]]/tbl_ReceiptLines[[#This Row],[Quantity]]</f>
        <v>1.69</v>
      </c>
      <c r="I75" s="4">
        <v>1.69</v>
      </c>
      <c r="J75" s="3"/>
      <c r="K75" s="3"/>
      <c r="L75" s="4"/>
      <c r="M75" s="7">
        <f>tbl_ReceiptLines[[#This Row],[Line_Total]]-tbl_ReceiptLines[[#This Row],[Discount_Info]]</f>
        <v>1.69</v>
      </c>
      <c r="N75" s="3"/>
    </row>
    <row r="76" spans="1:14" x14ac:dyDescent="0.3">
      <c r="A76" s="3" t="s">
        <v>57</v>
      </c>
      <c r="B76" s="5" t="s">
        <v>58</v>
      </c>
      <c r="C76" s="3">
        <v>33</v>
      </c>
      <c r="D76" s="3" t="s">
        <v>236</v>
      </c>
      <c r="E76" s="3" t="s">
        <v>186</v>
      </c>
      <c r="F76" s="3">
        <v>6</v>
      </c>
      <c r="G76" s="3" t="s">
        <v>187</v>
      </c>
      <c r="H76" s="4">
        <f>tbl_ReceiptLines[[#This Row],[Line_Total]]/tbl_ReceiptLines[[#This Row],[Quantity]]</f>
        <v>0.95000000000000007</v>
      </c>
      <c r="I76" s="4">
        <v>5.7</v>
      </c>
      <c r="J76" s="3"/>
      <c r="K76" s="3"/>
      <c r="L76" s="4"/>
      <c r="M76" s="7">
        <f>tbl_ReceiptLines[[#This Row],[Line_Total]]-tbl_ReceiptLines[[#This Row],[Discount_Info]]</f>
        <v>5.7</v>
      </c>
      <c r="N76" s="3" t="s">
        <v>237</v>
      </c>
    </row>
    <row r="77" spans="1:14" x14ac:dyDescent="0.3">
      <c r="A77" s="3" t="s">
        <v>65</v>
      </c>
      <c r="B77" s="5" t="s">
        <v>66</v>
      </c>
      <c r="C77" s="3">
        <v>1</v>
      </c>
      <c r="D77" s="3" t="s">
        <v>238</v>
      </c>
      <c r="E77" s="3" t="s">
        <v>239</v>
      </c>
      <c r="F77" s="3">
        <v>1</v>
      </c>
      <c r="G77" s="3"/>
      <c r="H77" s="4">
        <f>tbl_ReceiptLines[[#This Row],[Line_Total]]/tbl_ReceiptLines[[#This Row],[Quantity]]</f>
        <v>65</v>
      </c>
      <c r="I77" s="4">
        <v>65</v>
      </c>
      <c r="J77" s="3"/>
      <c r="K77" s="3"/>
      <c r="L77" s="4"/>
      <c r="M77" s="7">
        <f>tbl_ReceiptLines[[#This Row],[Line_Total]]-tbl_ReceiptLines[[#This Row],[Discount_Info]]</f>
        <v>65</v>
      </c>
      <c r="N77" s="3"/>
    </row>
    <row r="78" spans="1:14" x14ac:dyDescent="0.3">
      <c r="A78" s="3" t="s">
        <v>70</v>
      </c>
      <c r="B78" s="5" t="s">
        <v>71</v>
      </c>
      <c r="C78" s="3">
        <v>1</v>
      </c>
      <c r="D78" s="3" t="s">
        <v>240</v>
      </c>
      <c r="E78" s="3" t="s">
        <v>241</v>
      </c>
      <c r="F78" s="3">
        <v>1</v>
      </c>
      <c r="G78" s="3"/>
      <c r="H78" s="4">
        <v>1449</v>
      </c>
      <c r="I78" s="4">
        <v>1449</v>
      </c>
      <c r="J78" s="3" t="s">
        <v>278</v>
      </c>
      <c r="K78" s="3"/>
      <c r="L78" s="4"/>
      <c r="M78" s="7">
        <f>tbl_ReceiptLines[[#This Row],[Line_Total]]-tbl_ReceiptLines[[#This Row],[Discount_Info]]</f>
        <v>1449</v>
      </c>
      <c r="N78" s="3"/>
    </row>
    <row r="79" spans="1:14" x14ac:dyDescent="0.3">
      <c r="A79" s="3" t="s">
        <v>70</v>
      </c>
      <c r="B79" s="5" t="s">
        <v>71</v>
      </c>
      <c r="C79" s="3">
        <v>2</v>
      </c>
      <c r="D79" s="3" t="s">
        <v>153</v>
      </c>
      <c r="E79" s="3"/>
      <c r="F79" s="3">
        <v>1</v>
      </c>
      <c r="G79" s="3"/>
      <c r="H79" s="4">
        <v>0</v>
      </c>
      <c r="I79" s="4">
        <v>0</v>
      </c>
      <c r="J79" s="3"/>
      <c r="K79" s="3"/>
      <c r="L79" s="4"/>
      <c r="M79" s="7">
        <f>tbl_ReceiptLines[[#This Row],[Line_Total]]-tbl_ReceiptLines[[#This Row],[Discount_Info]]</f>
        <v>0</v>
      </c>
      <c r="N79" s="3"/>
    </row>
    <row r="80" spans="1:14" x14ac:dyDescent="0.3">
      <c r="A80" s="3" t="s">
        <v>318</v>
      </c>
      <c r="B80" s="5" t="s">
        <v>250</v>
      </c>
      <c r="C80" s="3">
        <v>1</v>
      </c>
      <c r="D80" s="3" t="s">
        <v>471</v>
      </c>
      <c r="E80" s="3"/>
      <c r="F80" s="3">
        <v>1</v>
      </c>
      <c r="G80" s="3"/>
      <c r="H80" s="4">
        <f>M80/F80</f>
        <v>0</v>
      </c>
      <c r="I80" s="4">
        <v>1.65</v>
      </c>
      <c r="J80" s="3"/>
      <c r="K80" s="3"/>
      <c r="L80" s="4">
        <v>1.65</v>
      </c>
      <c r="M80" s="7">
        <f>tbl_ReceiptLines[[#This Row],[Line_Total]]-tbl_ReceiptLines[[#This Row],[Discount_Info]]</f>
        <v>0</v>
      </c>
    </row>
    <row r="81" spans="1:13" x14ac:dyDescent="0.3">
      <c r="A81" s="3" t="s">
        <v>65</v>
      </c>
      <c r="B81" s="5" t="s">
        <v>66</v>
      </c>
      <c r="C81" s="3">
        <v>1</v>
      </c>
      <c r="D81" s="3" t="s">
        <v>238</v>
      </c>
      <c r="E81" s="3" t="s">
        <v>239</v>
      </c>
      <c r="F81" s="3">
        <v>1</v>
      </c>
      <c r="G81" s="3"/>
      <c r="H81" s="4"/>
      <c r="I81" s="4">
        <v>65</v>
      </c>
      <c r="J81" s="3"/>
      <c r="K81" s="3"/>
      <c r="L81" s="4"/>
      <c r="M81" s="7">
        <f>I81-L81</f>
        <v>65</v>
      </c>
    </row>
    <row r="82" spans="1:13" x14ac:dyDescent="0.3">
      <c r="A82" s="3" t="s">
        <v>279</v>
      </c>
      <c r="B82" s="5" t="s">
        <v>280</v>
      </c>
      <c r="C82" s="3">
        <v>1</v>
      </c>
      <c r="D82" s="3" t="s">
        <v>361</v>
      </c>
      <c r="E82" s="3"/>
      <c r="F82" s="3">
        <v>1</v>
      </c>
      <c r="G82" s="3"/>
      <c r="H82" s="4">
        <f>M82/F82</f>
        <v>6.99</v>
      </c>
      <c r="I82" s="4">
        <v>6.99</v>
      </c>
      <c r="J82" s="3"/>
      <c r="K82" s="3"/>
      <c r="L82" s="4"/>
      <c r="M82" s="7">
        <f>I82</f>
        <v>6.99</v>
      </c>
    </row>
    <row r="83" spans="1:13" x14ac:dyDescent="0.3">
      <c r="A83" s="3" t="s">
        <v>279</v>
      </c>
      <c r="B83" s="5" t="s">
        <v>280</v>
      </c>
      <c r="C83" s="3">
        <v>2</v>
      </c>
      <c r="D83" s="3" t="s">
        <v>362</v>
      </c>
      <c r="E83" s="3"/>
      <c r="F83" s="3">
        <v>1</v>
      </c>
      <c r="G83" s="3"/>
      <c r="H83" s="4">
        <f>M83/F83</f>
        <v>1.29</v>
      </c>
      <c r="I83" s="4">
        <v>1.29</v>
      </c>
      <c r="J83" s="3"/>
      <c r="K83" s="3"/>
      <c r="L83" s="4"/>
      <c r="M83" s="7">
        <f>I83</f>
        <v>1.29</v>
      </c>
    </row>
    <row r="84" spans="1:13" x14ac:dyDescent="0.3">
      <c r="A84" s="3" t="s">
        <v>286</v>
      </c>
      <c r="B84" s="5" t="s">
        <v>251</v>
      </c>
      <c r="C84" s="3">
        <v>1</v>
      </c>
      <c r="D84" s="3" t="s">
        <v>363</v>
      </c>
      <c r="E84" s="3" t="s">
        <v>364</v>
      </c>
      <c r="F84" s="3">
        <v>1</v>
      </c>
      <c r="G84" s="3" t="s">
        <v>364</v>
      </c>
      <c r="H84" s="4">
        <f t="shared" ref="H84:H86" si="0">I84/F84</f>
        <v>2.39</v>
      </c>
      <c r="I84" s="4">
        <v>2.39</v>
      </c>
      <c r="J84" s="3"/>
      <c r="K84" s="3"/>
      <c r="L84" s="4"/>
      <c r="M84" s="7">
        <v>0.95</v>
      </c>
    </row>
    <row r="85" spans="1:13" x14ac:dyDescent="0.3">
      <c r="A85" s="3" t="s">
        <v>286</v>
      </c>
      <c r="B85" s="5" t="s">
        <v>251</v>
      </c>
      <c r="C85" s="3">
        <v>2</v>
      </c>
      <c r="D85" s="3" t="s">
        <v>365</v>
      </c>
      <c r="E85" s="3"/>
      <c r="F85" s="3">
        <v>1</v>
      </c>
      <c r="G85" s="3"/>
      <c r="H85" s="4">
        <f t="shared" si="0"/>
        <v>1.5</v>
      </c>
      <c r="I85" s="4">
        <v>1.5</v>
      </c>
      <c r="J85" s="3"/>
      <c r="K85" s="3"/>
      <c r="L85" s="4"/>
      <c r="M85" s="7">
        <v>0.93</v>
      </c>
    </row>
    <row r="86" spans="1:13" x14ac:dyDescent="0.3">
      <c r="A86" s="3" t="s">
        <v>286</v>
      </c>
      <c r="B86" s="5" t="s">
        <v>251</v>
      </c>
      <c r="C86" s="3">
        <v>3</v>
      </c>
      <c r="D86" s="3" t="s">
        <v>366</v>
      </c>
      <c r="E86" s="3"/>
      <c r="F86" s="3">
        <v>1</v>
      </c>
      <c r="G86" s="3"/>
      <c r="H86" s="4">
        <f t="shared" si="0"/>
        <v>1.41</v>
      </c>
      <c r="I86" s="4">
        <v>1.41</v>
      </c>
      <c r="J86" s="3"/>
      <c r="K86" s="3"/>
      <c r="L86" s="4"/>
      <c r="M86" s="7">
        <v>0.88</v>
      </c>
    </row>
    <row r="87" spans="1:13" x14ac:dyDescent="0.3">
      <c r="A87" s="3" t="s">
        <v>286</v>
      </c>
      <c r="B87" s="5" t="s">
        <v>251</v>
      </c>
      <c r="C87" s="3">
        <v>4</v>
      </c>
      <c r="D87" s="3" t="s">
        <v>367</v>
      </c>
      <c r="E87" s="3"/>
      <c r="F87" s="3">
        <v>1</v>
      </c>
      <c r="G87" s="3"/>
      <c r="H87" s="4">
        <f>I87/F87</f>
        <v>1.25</v>
      </c>
      <c r="I87" s="4">
        <v>1.25</v>
      </c>
      <c r="J87" s="3"/>
      <c r="K87" s="3"/>
      <c r="L87" s="4"/>
      <c r="M87" s="7">
        <v>0.92</v>
      </c>
    </row>
    <row r="88" spans="1:13" x14ac:dyDescent="0.3">
      <c r="A88" s="3" t="s">
        <v>293</v>
      </c>
      <c r="B88" s="5" t="s">
        <v>252</v>
      </c>
      <c r="C88" s="3">
        <v>1</v>
      </c>
      <c r="D88" s="3" t="s">
        <v>368</v>
      </c>
      <c r="E88" s="3"/>
      <c r="F88" s="3">
        <v>1</v>
      </c>
      <c r="G88" s="3"/>
      <c r="H88" s="4">
        <f>I88/F88</f>
        <v>2.56</v>
      </c>
      <c r="I88" s="4">
        <v>2.56</v>
      </c>
      <c r="J88" s="3"/>
      <c r="K88" s="3"/>
      <c r="L88" s="4"/>
      <c r="M88" s="7">
        <v>0.78</v>
      </c>
    </row>
    <row r="89" spans="1:13" x14ac:dyDescent="0.3">
      <c r="A89" s="3" t="s">
        <v>293</v>
      </c>
      <c r="B89" s="5" t="s">
        <v>252</v>
      </c>
      <c r="C89" s="3">
        <v>2</v>
      </c>
      <c r="D89" s="3" t="s">
        <v>369</v>
      </c>
      <c r="E89" s="3"/>
      <c r="F89" s="3">
        <v>2</v>
      </c>
      <c r="G89" s="3"/>
      <c r="H89" s="4">
        <f>I89/F89</f>
        <v>1.22</v>
      </c>
      <c r="I89" s="4">
        <v>2.44</v>
      </c>
      <c r="J89" s="3"/>
      <c r="K89" s="3"/>
      <c r="L89" s="4"/>
      <c r="M89" s="7">
        <v>0.72</v>
      </c>
    </row>
    <row r="90" spans="1:13" x14ac:dyDescent="0.3">
      <c r="A90" s="3" t="s">
        <v>298</v>
      </c>
      <c r="B90" s="9" t="s">
        <v>299</v>
      </c>
      <c r="C90" s="3">
        <v>1</v>
      </c>
      <c r="D90" s="3" t="s">
        <v>370</v>
      </c>
      <c r="E90" s="3"/>
      <c r="F90" s="3">
        <v>1</v>
      </c>
      <c r="G90" s="3"/>
      <c r="H90" s="4"/>
      <c r="I90" s="4">
        <v>2.0499999999999998</v>
      </c>
      <c r="J90" s="3"/>
      <c r="K90" s="3"/>
      <c r="L90" s="4"/>
      <c r="M90" s="7">
        <v>0.67</v>
      </c>
    </row>
    <row r="91" spans="1:13" x14ac:dyDescent="0.3">
      <c r="A91" s="3" t="s">
        <v>298</v>
      </c>
      <c r="B91" s="9" t="s">
        <v>299</v>
      </c>
      <c r="C91" s="3">
        <v>2</v>
      </c>
      <c r="D91" s="3" t="s">
        <v>371</v>
      </c>
      <c r="E91" s="3"/>
      <c r="F91" s="3">
        <v>1</v>
      </c>
      <c r="G91" s="3"/>
      <c r="H91" s="4"/>
      <c r="I91" s="4">
        <v>2.0499999999999998</v>
      </c>
      <c r="J91" s="3"/>
      <c r="K91" s="3"/>
      <c r="L91" s="4"/>
      <c r="M91" s="7">
        <v>0.62</v>
      </c>
    </row>
    <row r="92" spans="1:13" x14ac:dyDescent="0.3">
      <c r="A92" s="3" t="s">
        <v>298</v>
      </c>
      <c r="B92" s="9" t="s">
        <v>299</v>
      </c>
      <c r="C92" s="3">
        <v>3</v>
      </c>
      <c r="D92" s="3" t="s">
        <v>372</v>
      </c>
      <c r="E92" s="3"/>
      <c r="F92" s="3">
        <v>1</v>
      </c>
      <c r="G92" s="3"/>
      <c r="H92" s="4"/>
      <c r="I92" s="4">
        <v>1.99</v>
      </c>
      <c r="J92" s="3"/>
      <c r="K92" s="3"/>
      <c r="L92" s="4"/>
      <c r="M92" s="7">
        <v>0.71</v>
      </c>
    </row>
    <row r="93" spans="1:13" x14ac:dyDescent="0.3">
      <c r="A93" s="3" t="s">
        <v>298</v>
      </c>
      <c r="B93" s="9" t="s">
        <v>299</v>
      </c>
      <c r="C93" s="3">
        <v>4</v>
      </c>
      <c r="D93" s="3" t="s">
        <v>373</v>
      </c>
      <c r="E93" s="3"/>
      <c r="F93" s="3">
        <v>2</v>
      </c>
      <c r="G93" s="3"/>
      <c r="H93" s="4">
        <v>3.47</v>
      </c>
      <c r="I93" s="4">
        <v>6.94</v>
      </c>
      <c r="J93" s="3"/>
      <c r="K93" s="3"/>
      <c r="L93" s="4"/>
      <c r="M93" s="7">
        <v>0.57999999999999996</v>
      </c>
    </row>
    <row r="94" spans="1:13" x14ac:dyDescent="0.3">
      <c r="A94" s="3" t="s">
        <v>298</v>
      </c>
      <c r="B94" s="9" t="s">
        <v>299</v>
      </c>
      <c r="C94" s="3">
        <v>5</v>
      </c>
      <c r="D94" s="3" t="s">
        <v>374</v>
      </c>
      <c r="E94" s="3"/>
      <c r="F94" s="3">
        <v>1</v>
      </c>
      <c r="G94" s="3"/>
      <c r="H94" s="4"/>
      <c r="I94" s="4">
        <v>1.33</v>
      </c>
      <c r="J94" s="3"/>
      <c r="K94" s="3"/>
      <c r="L94" s="4"/>
      <c r="M94" s="7">
        <v>0.55000000000000004</v>
      </c>
    </row>
    <row r="95" spans="1:13" x14ac:dyDescent="0.3">
      <c r="A95" s="3" t="s">
        <v>298</v>
      </c>
      <c r="B95" s="9" t="s">
        <v>299</v>
      </c>
      <c r="C95" s="3">
        <v>6</v>
      </c>
      <c r="D95" s="3" t="s">
        <v>375</v>
      </c>
      <c r="E95" s="3"/>
      <c r="F95" s="3">
        <v>1</v>
      </c>
      <c r="G95" s="3"/>
      <c r="H95" s="4"/>
      <c r="I95" s="4">
        <v>2.0499999999999998</v>
      </c>
      <c r="J95" s="3"/>
      <c r="K95" s="3"/>
      <c r="L95" s="4"/>
      <c r="M95" s="7">
        <v>0.55000000000000004</v>
      </c>
    </row>
    <row r="96" spans="1:13" x14ac:dyDescent="0.3">
      <c r="A96" s="3" t="s">
        <v>304</v>
      </c>
      <c r="B96" s="5" t="s">
        <v>244</v>
      </c>
      <c r="C96" s="3">
        <v>1</v>
      </c>
      <c r="D96" s="3" t="s">
        <v>466</v>
      </c>
      <c r="E96" s="3"/>
      <c r="F96" s="3">
        <v>2</v>
      </c>
      <c r="G96" s="3"/>
      <c r="H96" s="4">
        <f>M96/2</f>
        <v>3.75</v>
      </c>
      <c r="I96" s="4">
        <v>9.98</v>
      </c>
      <c r="J96" s="3"/>
      <c r="K96" s="3"/>
      <c r="L96" s="4">
        <v>2.48</v>
      </c>
      <c r="M96" s="7">
        <f>I96-L96</f>
        <v>7.5</v>
      </c>
    </row>
    <row r="97" spans="1:13" x14ac:dyDescent="0.3">
      <c r="A97" s="3" t="s">
        <v>304</v>
      </c>
      <c r="B97" s="5" t="s">
        <v>244</v>
      </c>
      <c r="C97" s="3">
        <v>3</v>
      </c>
      <c r="D97" s="3" t="s">
        <v>376</v>
      </c>
      <c r="E97" s="3"/>
      <c r="F97" s="3">
        <v>1</v>
      </c>
      <c r="G97" s="3"/>
      <c r="H97" s="4"/>
      <c r="I97" s="4">
        <v>2.79</v>
      </c>
      <c r="J97" s="3"/>
      <c r="K97" s="3"/>
      <c r="L97" s="4"/>
      <c r="M97" s="7">
        <f>I97-L97</f>
        <v>2.79</v>
      </c>
    </row>
    <row r="98" spans="1:13" x14ac:dyDescent="0.3">
      <c r="A98" s="3" t="s">
        <v>304</v>
      </c>
      <c r="B98" s="5" t="s">
        <v>244</v>
      </c>
      <c r="C98" s="3">
        <v>4</v>
      </c>
      <c r="D98" s="3" t="s">
        <v>377</v>
      </c>
      <c r="E98" s="3"/>
      <c r="F98" s="3">
        <v>1</v>
      </c>
      <c r="G98" s="3"/>
      <c r="H98" s="4"/>
      <c r="I98" s="4">
        <v>1.45</v>
      </c>
      <c r="J98" s="3"/>
      <c r="K98" s="3"/>
      <c r="L98" s="4"/>
      <c r="M98" s="7">
        <f t="shared" ref="M98:M118" si="1">I98-L98</f>
        <v>1.45</v>
      </c>
    </row>
    <row r="99" spans="1:13" x14ac:dyDescent="0.3">
      <c r="A99" s="3" t="s">
        <v>304</v>
      </c>
      <c r="B99" s="5" t="s">
        <v>244</v>
      </c>
      <c r="C99" s="3">
        <v>5</v>
      </c>
      <c r="D99" s="3" t="s">
        <v>378</v>
      </c>
      <c r="E99" s="3"/>
      <c r="F99" s="3">
        <v>1</v>
      </c>
      <c r="G99" s="3"/>
      <c r="H99" s="4"/>
      <c r="I99" s="4">
        <v>0.69</v>
      </c>
      <c r="J99" s="3"/>
      <c r="K99" s="3"/>
      <c r="L99" s="4"/>
      <c r="M99" s="7">
        <f t="shared" si="1"/>
        <v>0.69</v>
      </c>
    </row>
    <row r="100" spans="1:13" x14ac:dyDescent="0.3">
      <c r="A100" s="3" t="s">
        <v>304</v>
      </c>
      <c r="B100" s="5" t="s">
        <v>244</v>
      </c>
      <c r="C100" s="3">
        <v>6</v>
      </c>
      <c r="D100" s="3" t="s">
        <v>379</v>
      </c>
      <c r="E100" s="3"/>
      <c r="F100" s="3">
        <v>1</v>
      </c>
      <c r="G100" s="3"/>
      <c r="H100" s="4"/>
      <c r="I100" s="4">
        <v>1.75</v>
      </c>
      <c r="J100" s="3"/>
      <c r="K100" s="3"/>
      <c r="L100" s="4"/>
      <c r="M100" s="7">
        <f t="shared" si="1"/>
        <v>1.75</v>
      </c>
    </row>
    <row r="101" spans="1:13" x14ac:dyDescent="0.3">
      <c r="A101" s="3" t="s">
        <v>304</v>
      </c>
      <c r="B101" s="5" t="s">
        <v>244</v>
      </c>
      <c r="C101" s="3">
        <v>7</v>
      </c>
      <c r="D101" s="3" t="s">
        <v>380</v>
      </c>
      <c r="E101" s="3"/>
      <c r="F101" s="3">
        <v>1</v>
      </c>
      <c r="G101" s="3"/>
      <c r="H101" s="4"/>
      <c r="I101" s="4">
        <v>6.49</v>
      </c>
      <c r="J101" s="3"/>
      <c r="K101" s="3"/>
      <c r="L101" s="4"/>
      <c r="M101" s="7">
        <f t="shared" si="1"/>
        <v>6.49</v>
      </c>
    </row>
    <row r="102" spans="1:13" x14ac:dyDescent="0.3">
      <c r="A102" s="3" t="s">
        <v>304</v>
      </c>
      <c r="B102" s="5" t="s">
        <v>244</v>
      </c>
      <c r="C102">
        <v>8</v>
      </c>
      <c r="D102" s="3" t="s">
        <v>381</v>
      </c>
      <c r="E102" s="3"/>
      <c r="F102" s="3">
        <v>1</v>
      </c>
      <c r="G102" s="3"/>
      <c r="H102" s="4"/>
      <c r="I102" s="4">
        <v>2.15</v>
      </c>
      <c r="J102" s="3"/>
      <c r="K102" s="3"/>
      <c r="L102" s="4"/>
      <c r="M102" s="7">
        <f t="shared" si="1"/>
        <v>2.15</v>
      </c>
    </row>
    <row r="103" spans="1:13" x14ac:dyDescent="0.3">
      <c r="A103" s="3" t="s">
        <v>310</v>
      </c>
      <c r="B103" s="5" t="s">
        <v>468</v>
      </c>
      <c r="C103" s="3">
        <v>1</v>
      </c>
      <c r="D103" s="3" t="s">
        <v>382</v>
      </c>
      <c r="E103" s="3"/>
      <c r="F103" s="3">
        <v>1</v>
      </c>
      <c r="G103" s="3"/>
      <c r="H103" s="4"/>
      <c r="I103" s="4">
        <v>1.99</v>
      </c>
      <c r="J103" s="3"/>
      <c r="K103" s="3"/>
      <c r="L103" s="4"/>
      <c r="M103" s="7">
        <f t="shared" si="1"/>
        <v>1.99</v>
      </c>
    </row>
    <row r="104" spans="1:13" x14ac:dyDescent="0.3">
      <c r="A104" s="3" t="s">
        <v>310</v>
      </c>
      <c r="B104" s="5" t="s">
        <v>468</v>
      </c>
      <c r="C104" s="3">
        <v>2</v>
      </c>
      <c r="D104" s="3" t="s">
        <v>383</v>
      </c>
      <c r="E104" s="3" t="s">
        <v>201</v>
      </c>
      <c r="F104" s="3">
        <v>2</v>
      </c>
      <c r="G104" s="3" t="s">
        <v>201</v>
      </c>
      <c r="H104" s="4">
        <v>5.69</v>
      </c>
      <c r="I104" s="4">
        <v>11.38</v>
      </c>
      <c r="J104" s="3"/>
      <c r="K104" s="3"/>
      <c r="L104" s="4"/>
      <c r="M104" s="7">
        <f t="shared" si="1"/>
        <v>11.38</v>
      </c>
    </row>
    <row r="105" spans="1:13" x14ac:dyDescent="0.3">
      <c r="A105" s="3" t="s">
        <v>310</v>
      </c>
      <c r="B105" s="5" t="s">
        <v>468</v>
      </c>
      <c r="C105" s="3">
        <v>3</v>
      </c>
      <c r="D105" s="3" t="s">
        <v>384</v>
      </c>
      <c r="E105" s="3"/>
      <c r="F105" s="3">
        <v>2</v>
      </c>
      <c r="G105" s="3"/>
      <c r="H105" s="4">
        <v>1.5</v>
      </c>
      <c r="I105" s="4">
        <v>3</v>
      </c>
      <c r="J105" s="3"/>
      <c r="K105" s="3"/>
      <c r="L105" s="4"/>
      <c r="M105" s="7">
        <f t="shared" si="1"/>
        <v>3</v>
      </c>
    </row>
    <row r="106" spans="1:13" x14ac:dyDescent="0.3">
      <c r="A106" s="3" t="s">
        <v>310</v>
      </c>
      <c r="B106" s="5" t="s">
        <v>468</v>
      </c>
      <c r="C106" s="3">
        <v>4</v>
      </c>
      <c r="D106" s="3" t="s">
        <v>385</v>
      </c>
      <c r="E106" s="3"/>
      <c r="F106" s="3">
        <v>1</v>
      </c>
      <c r="G106" s="3"/>
      <c r="H106" s="4"/>
      <c r="I106" s="4">
        <v>1.0900000000000001</v>
      </c>
      <c r="J106" s="3"/>
      <c r="K106" s="3"/>
      <c r="L106" s="4"/>
      <c r="M106" s="7">
        <f t="shared" si="1"/>
        <v>1.0900000000000001</v>
      </c>
    </row>
    <row r="107" spans="1:13" x14ac:dyDescent="0.3">
      <c r="A107" s="3" t="s">
        <v>310</v>
      </c>
      <c r="B107" s="5" t="s">
        <v>468</v>
      </c>
      <c r="C107" s="3">
        <v>5</v>
      </c>
      <c r="D107" s="3" t="s">
        <v>386</v>
      </c>
      <c r="E107" s="3"/>
      <c r="F107" s="3">
        <v>1</v>
      </c>
      <c r="G107" s="3"/>
      <c r="H107" s="4"/>
      <c r="I107" s="4">
        <v>3.81</v>
      </c>
      <c r="J107" s="3"/>
      <c r="K107" s="3"/>
      <c r="L107" s="4"/>
      <c r="M107" s="7">
        <f t="shared" si="1"/>
        <v>3.81</v>
      </c>
    </row>
    <row r="108" spans="1:13" x14ac:dyDescent="0.3">
      <c r="A108" s="3" t="s">
        <v>310</v>
      </c>
      <c r="B108" s="5" t="s">
        <v>468</v>
      </c>
      <c r="C108" s="3">
        <v>6</v>
      </c>
      <c r="D108" s="3" t="s">
        <v>387</v>
      </c>
      <c r="E108" s="3"/>
      <c r="F108" s="3">
        <v>3</v>
      </c>
      <c r="G108" s="3"/>
      <c r="H108" s="4">
        <v>1</v>
      </c>
      <c r="I108" s="4">
        <v>3</v>
      </c>
      <c r="J108" s="3"/>
      <c r="K108" s="3"/>
      <c r="L108" s="4"/>
      <c r="M108" s="7">
        <f t="shared" si="1"/>
        <v>3</v>
      </c>
    </row>
    <row r="109" spans="1:13" x14ac:dyDescent="0.3">
      <c r="A109" s="3" t="s">
        <v>310</v>
      </c>
      <c r="B109" s="5" t="s">
        <v>468</v>
      </c>
      <c r="C109" s="3">
        <v>7</v>
      </c>
      <c r="D109" s="3" t="s">
        <v>388</v>
      </c>
      <c r="E109" s="3"/>
      <c r="F109" s="3">
        <v>1</v>
      </c>
      <c r="G109" s="3" t="s">
        <v>389</v>
      </c>
      <c r="H109" s="4"/>
      <c r="I109" s="4">
        <v>0.87</v>
      </c>
      <c r="J109" s="3"/>
      <c r="K109" s="3"/>
      <c r="L109" s="4"/>
      <c r="M109" s="7">
        <f t="shared" si="1"/>
        <v>0.87</v>
      </c>
    </row>
    <row r="110" spans="1:13" x14ac:dyDescent="0.3">
      <c r="A110" s="3" t="s">
        <v>310</v>
      </c>
      <c r="B110" s="5" t="s">
        <v>468</v>
      </c>
      <c r="C110" s="3">
        <v>8</v>
      </c>
      <c r="D110" s="3" t="s">
        <v>390</v>
      </c>
      <c r="E110" s="3"/>
      <c r="F110" s="3">
        <v>1</v>
      </c>
      <c r="G110" s="3"/>
      <c r="H110" s="4"/>
      <c r="I110" s="4">
        <v>2.29</v>
      </c>
      <c r="J110" s="3"/>
      <c r="K110" s="3"/>
      <c r="L110" s="4"/>
      <c r="M110" s="7">
        <f t="shared" si="1"/>
        <v>2.29</v>
      </c>
    </row>
    <row r="111" spans="1:13" x14ac:dyDescent="0.3">
      <c r="A111" s="3" t="s">
        <v>310</v>
      </c>
      <c r="B111" s="5" t="s">
        <v>468</v>
      </c>
      <c r="C111" s="3">
        <v>9</v>
      </c>
      <c r="D111" s="3" t="s">
        <v>391</v>
      </c>
      <c r="E111" s="3"/>
      <c r="F111" s="3">
        <v>1</v>
      </c>
      <c r="G111" s="3"/>
      <c r="H111" s="4"/>
      <c r="I111" s="4">
        <v>1.99</v>
      </c>
      <c r="J111" s="3"/>
      <c r="K111" s="3"/>
      <c r="L111" s="4"/>
      <c r="M111" s="7">
        <f t="shared" si="1"/>
        <v>1.99</v>
      </c>
    </row>
    <row r="112" spans="1:13" x14ac:dyDescent="0.3">
      <c r="A112" s="3" t="s">
        <v>310</v>
      </c>
      <c r="B112" s="5" t="s">
        <v>468</v>
      </c>
      <c r="C112" s="3">
        <v>10</v>
      </c>
      <c r="D112" s="3" t="s">
        <v>392</v>
      </c>
      <c r="E112" s="3"/>
      <c r="F112" s="3">
        <v>1</v>
      </c>
      <c r="G112" s="3"/>
      <c r="H112" s="4"/>
      <c r="I112" s="4">
        <v>1.05</v>
      </c>
      <c r="J112" s="3"/>
      <c r="K112" s="3"/>
      <c r="L112" s="4"/>
      <c r="M112" s="7">
        <f t="shared" si="1"/>
        <v>1.05</v>
      </c>
    </row>
    <row r="113" spans="1:13" x14ac:dyDescent="0.3">
      <c r="A113" s="3" t="s">
        <v>310</v>
      </c>
      <c r="B113" s="5" t="s">
        <v>468</v>
      </c>
      <c r="C113" s="3">
        <v>11</v>
      </c>
      <c r="D113" s="3" t="s">
        <v>393</v>
      </c>
      <c r="E113" s="3"/>
      <c r="F113" s="3">
        <v>1</v>
      </c>
      <c r="G113" s="3"/>
      <c r="H113" s="4"/>
      <c r="I113" s="4">
        <v>0.99</v>
      </c>
      <c r="J113" s="3"/>
      <c r="K113" s="3"/>
      <c r="L113" s="4"/>
      <c r="M113" s="7">
        <f t="shared" si="1"/>
        <v>0.99</v>
      </c>
    </row>
    <row r="114" spans="1:13" x14ac:dyDescent="0.3">
      <c r="A114" s="3" t="s">
        <v>310</v>
      </c>
      <c r="B114" s="5" t="s">
        <v>468</v>
      </c>
      <c r="C114" s="3">
        <v>12</v>
      </c>
      <c r="D114" s="3" t="s">
        <v>104</v>
      </c>
      <c r="E114" s="3"/>
      <c r="F114" s="3">
        <v>1</v>
      </c>
      <c r="G114" s="3"/>
      <c r="H114" s="4"/>
      <c r="I114" s="4">
        <v>0.89</v>
      </c>
      <c r="J114" s="3"/>
      <c r="K114" s="3"/>
      <c r="L114" s="4"/>
      <c r="M114" s="7">
        <f t="shared" si="1"/>
        <v>0.89</v>
      </c>
    </row>
    <row r="115" spans="1:13" x14ac:dyDescent="0.3">
      <c r="A115" s="3" t="s">
        <v>310</v>
      </c>
      <c r="B115" s="5" t="s">
        <v>468</v>
      </c>
      <c r="C115" s="3">
        <v>13</v>
      </c>
      <c r="D115" s="3" t="s">
        <v>394</v>
      </c>
      <c r="E115" s="3"/>
      <c r="F115" s="3">
        <v>1</v>
      </c>
      <c r="G115" s="3"/>
      <c r="H115" s="4"/>
      <c r="I115" s="4">
        <v>2.59</v>
      </c>
      <c r="J115" s="3"/>
      <c r="K115" s="3"/>
      <c r="L115" s="4"/>
      <c r="M115" s="7">
        <f t="shared" si="1"/>
        <v>2.59</v>
      </c>
    </row>
    <row r="116" spans="1:13" x14ac:dyDescent="0.3">
      <c r="A116" s="3" t="s">
        <v>310</v>
      </c>
      <c r="B116" s="5" t="s">
        <v>468</v>
      </c>
      <c r="C116" s="3">
        <v>14</v>
      </c>
      <c r="D116" s="3" t="s">
        <v>395</v>
      </c>
      <c r="E116" s="3"/>
      <c r="F116" s="3">
        <v>1</v>
      </c>
      <c r="G116" s="3"/>
      <c r="H116" s="4"/>
      <c r="I116" s="4">
        <v>0.88</v>
      </c>
      <c r="J116" s="3"/>
      <c r="K116" s="3"/>
      <c r="L116" s="4"/>
      <c r="M116" s="7">
        <f t="shared" si="1"/>
        <v>0.88</v>
      </c>
    </row>
    <row r="117" spans="1:13" x14ac:dyDescent="0.3">
      <c r="A117" s="3" t="s">
        <v>310</v>
      </c>
      <c r="B117" s="5" t="s">
        <v>468</v>
      </c>
      <c r="C117" s="3">
        <v>15</v>
      </c>
      <c r="D117" s="3" t="s">
        <v>396</v>
      </c>
      <c r="E117" s="3"/>
      <c r="F117" s="3">
        <v>1</v>
      </c>
      <c r="G117" s="3"/>
      <c r="H117" s="4"/>
      <c r="I117" s="4">
        <v>15.99</v>
      </c>
      <c r="J117" s="3"/>
      <c r="K117" s="3"/>
      <c r="L117" s="4"/>
      <c r="M117" s="7">
        <f t="shared" si="1"/>
        <v>15.99</v>
      </c>
    </row>
    <row r="118" spans="1:13" x14ac:dyDescent="0.3">
      <c r="A118" s="3" t="s">
        <v>310</v>
      </c>
      <c r="B118" s="5" t="s">
        <v>468</v>
      </c>
      <c r="C118" s="3">
        <v>16</v>
      </c>
      <c r="D118" s="3" t="s">
        <v>397</v>
      </c>
      <c r="E118" s="3"/>
      <c r="F118" s="3">
        <v>51</v>
      </c>
      <c r="G118" s="3"/>
      <c r="H118" s="4">
        <v>0.1</v>
      </c>
      <c r="I118" s="4">
        <v>5.0999999999999996</v>
      </c>
      <c r="J118" s="3"/>
      <c r="K118" s="3"/>
      <c r="L118" s="4"/>
      <c r="M118" s="7">
        <f t="shared" si="1"/>
        <v>5.0999999999999996</v>
      </c>
    </row>
    <row r="119" spans="1:13" x14ac:dyDescent="0.3">
      <c r="A119" s="3" t="s">
        <v>325</v>
      </c>
      <c r="B119" s="5" t="s">
        <v>257</v>
      </c>
      <c r="C119" s="3">
        <v>1</v>
      </c>
      <c r="D119" s="3" t="s">
        <v>398</v>
      </c>
      <c r="E119" s="3"/>
      <c r="F119" s="3">
        <v>2</v>
      </c>
      <c r="G119" s="3"/>
      <c r="H119" s="4">
        <f>M119/F119</f>
        <v>0.98999999999999988</v>
      </c>
      <c r="I119" s="4">
        <v>2.78</v>
      </c>
      <c r="J119" s="3"/>
      <c r="K119" s="3"/>
      <c r="L119" s="4">
        <v>0.8</v>
      </c>
      <c r="M119" s="7">
        <f>I119-L119</f>
        <v>1.9799999999999998</v>
      </c>
    </row>
    <row r="120" spans="1:13" x14ac:dyDescent="0.3">
      <c r="A120" s="3" t="s">
        <v>325</v>
      </c>
      <c r="B120" s="5" t="s">
        <v>257</v>
      </c>
      <c r="C120" s="3">
        <v>2</v>
      </c>
      <c r="D120" s="3" t="s">
        <v>399</v>
      </c>
      <c r="E120" s="3"/>
      <c r="F120" s="3">
        <v>1</v>
      </c>
      <c r="G120" s="3"/>
      <c r="H120" s="4"/>
      <c r="I120" s="4">
        <v>1.19</v>
      </c>
      <c r="J120" s="3"/>
      <c r="K120" s="3"/>
      <c r="L120" s="4"/>
      <c r="M120" s="7">
        <f t="shared" ref="M120:M135" si="2">I120-L120</f>
        <v>1.19</v>
      </c>
    </row>
    <row r="121" spans="1:13" x14ac:dyDescent="0.3">
      <c r="A121" s="3" t="s">
        <v>325</v>
      </c>
      <c r="B121" s="5" t="s">
        <v>257</v>
      </c>
      <c r="C121" s="3">
        <v>3</v>
      </c>
      <c r="D121" s="3" t="s">
        <v>400</v>
      </c>
      <c r="E121" s="3"/>
      <c r="F121" s="3">
        <v>1</v>
      </c>
      <c r="G121" s="3"/>
      <c r="H121" s="4"/>
      <c r="I121" s="4">
        <v>3.25</v>
      </c>
      <c r="J121" s="3"/>
      <c r="K121" s="3"/>
      <c r="L121" s="4"/>
      <c r="M121" s="7">
        <f t="shared" si="2"/>
        <v>3.25</v>
      </c>
    </row>
    <row r="122" spans="1:13" x14ac:dyDescent="0.3">
      <c r="A122" s="3" t="s">
        <v>325</v>
      </c>
      <c r="B122" s="5" t="s">
        <v>257</v>
      </c>
      <c r="C122" s="3">
        <v>4</v>
      </c>
      <c r="D122" s="3" t="s">
        <v>401</v>
      </c>
      <c r="E122" s="3"/>
      <c r="F122" s="3">
        <v>1</v>
      </c>
      <c r="G122" s="3"/>
      <c r="H122" s="4"/>
      <c r="I122" s="4">
        <v>1.69</v>
      </c>
      <c r="J122" s="3"/>
      <c r="K122" s="3"/>
      <c r="L122" s="4"/>
      <c r="M122" s="7">
        <f t="shared" si="2"/>
        <v>1.69</v>
      </c>
    </row>
    <row r="123" spans="1:13" x14ac:dyDescent="0.3">
      <c r="A123" s="3" t="s">
        <v>325</v>
      </c>
      <c r="B123" s="5" t="s">
        <v>257</v>
      </c>
      <c r="C123" s="3">
        <v>5</v>
      </c>
      <c r="D123" s="3" t="s">
        <v>402</v>
      </c>
      <c r="E123" s="3"/>
      <c r="F123" s="3">
        <v>1</v>
      </c>
      <c r="G123" s="3"/>
      <c r="H123" s="4"/>
      <c r="I123" s="4">
        <v>2.99</v>
      </c>
      <c r="J123" s="3"/>
      <c r="K123" s="3"/>
      <c r="L123" s="4"/>
      <c r="M123" s="7">
        <f t="shared" si="2"/>
        <v>2.99</v>
      </c>
    </row>
    <row r="124" spans="1:13" x14ac:dyDescent="0.3">
      <c r="A124" s="3" t="s">
        <v>325</v>
      </c>
      <c r="B124" s="5" t="s">
        <v>257</v>
      </c>
      <c r="C124" s="3">
        <v>6</v>
      </c>
      <c r="D124" s="3" t="s">
        <v>403</v>
      </c>
      <c r="E124" s="3"/>
      <c r="F124" s="3">
        <v>1</v>
      </c>
      <c r="G124" s="3"/>
      <c r="H124" s="4"/>
      <c r="I124" s="4">
        <v>4.79</v>
      </c>
      <c r="J124" s="3"/>
      <c r="K124" s="3"/>
      <c r="L124" s="4"/>
      <c r="M124" s="7">
        <f t="shared" si="2"/>
        <v>4.79</v>
      </c>
    </row>
    <row r="125" spans="1:13" x14ac:dyDescent="0.3">
      <c r="A125" s="3" t="s">
        <v>325</v>
      </c>
      <c r="B125" s="5" t="s">
        <v>257</v>
      </c>
      <c r="C125" s="3">
        <v>7</v>
      </c>
      <c r="D125" s="3" t="s">
        <v>404</v>
      </c>
      <c r="E125" s="3"/>
      <c r="F125" s="3">
        <v>1</v>
      </c>
      <c r="G125" s="3"/>
      <c r="H125" s="4"/>
      <c r="I125" s="4">
        <v>4.99</v>
      </c>
      <c r="J125" s="3"/>
      <c r="K125" s="3"/>
      <c r="L125" s="4"/>
      <c r="M125" s="7">
        <f t="shared" si="2"/>
        <v>4.99</v>
      </c>
    </row>
    <row r="126" spans="1:13" x14ac:dyDescent="0.3">
      <c r="A126" s="3" t="s">
        <v>325</v>
      </c>
      <c r="B126" s="5" t="s">
        <v>257</v>
      </c>
      <c r="C126" s="3">
        <v>8</v>
      </c>
      <c r="D126" s="3" t="s">
        <v>405</v>
      </c>
      <c r="E126" s="3"/>
      <c r="F126" s="3">
        <v>1</v>
      </c>
      <c r="G126" s="3"/>
      <c r="H126" s="4"/>
      <c r="I126" s="4">
        <v>2.99</v>
      </c>
      <c r="J126" s="3"/>
      <c r="K126" s="3"/>
      <c r="L126" s="4"/>
      <c r="M126" s="7">
        <f t="shared" si="2"/>
        <v>2.99</v>
      </c>
    </row>
    <row r="127" spans="1:13" x14ac:dyDescent="0.3">
      <c r="A127" s="3" t="s">
        <v>325</v>
      </c>
      <c r="B127" s="5" t="s">
        <v>257</v>
      </c>
      <c r="C127" s="3">
        <v>9</v>
      </c>
      <c r="D127" s="3" t="s">
        <v>406</v>
      </c>
      <c r="E127" s="3"/>
      <c r="F127" s="3">
        <v>1</v>
      </c>
      <c r="G127" s="3"/>
      <c r="H127" s="4"/>
      <c r="I127" s="4">
        <v>3.49</v>
      </c>
      <c r="J127" s="3"/>
      <c r="K127" s="3"/>
      <c r="L127" s="4"/>
      <c r="M127" s="7">
        <f t="shared" si="2"/>
        <v>3.49</v>
      </c>
    </row>
    <row r="128" spans="1:13" x14ac:dyDescent="0.3">
      <c r="A128" s="3" t="s">
        <v>325</v>
      </c>
      <c r="B128" s="5" t="s">
        <v>257</v>
      </c>
      <c r="C128" s="3">
        <v>10</v>
      </c>
      <c r="D128" s="3" t="s">
        <v>407</v>
      </c>
      <c r="E128" s="3"/>
      <c r="F128" s="3">
        <v>1</v>
      </c>
      <c r="G128" s="3"/>
      <c r="H128" s="4"/>
      <c r="I128" s="4">
        <v>1.79</v>
      </c>
      <c r="J128" s="3"/>
      <c r="K128" s="3"/>
      <c r="L128" s="4"/>
      <c r="M128" s="7">
        <f t="shared" si="2"/>
        <v>1.79</v>
      </c>
    </row>
    <row r="129" spans="1:13" x14ac:dyDescent="0.3">
      <c r="A129" s="3" t="s">
        <v>325</v>
      </c>
      <c r="B129" s="5" t="s">
        <v>257</v>
      </c>
      <c r="C129" s="3">
        <v>11</v>
      </c>
      <c r="D129" s="3" t="s">
        <v>408</v>
      </c>
      <c r="E129" s="3"/>
      <c r="F129" s="3">
        <v>3</v>
      </c>
      <c r="G129" s="3"/>
      <c r="H129" s="4">
        <v>0.59</v>
      </c>
      <c r="I129" s="4">
        <v>1.77</v>
      </c>
      <c r="J129" s="3"/>
      <c r="K129" s="3"/>
      <c r="L129" s="4"/>
      <c r="M129" s="7">
        <f t="shared" si="2"/>
        <v>1.77</v>
      </c>
    </row>
    <row r="130" spans="1:13" x14ac:dyDescent="0.3">
      <c r="A130" s="3" t="s">
        <v>325</v>
      </c>
      <c r="B130" s="5" t="s">
        <v>257</v>
      </c>
      <c r="C130" s="3">
        <v>12</v>
      </c>
      <c r="D130" s="3" t="s">
        <v>409</v>
      </c>
      <c r="E130" s="3"/>
      <c r="F130" s="3">
        <v>1</v>
      </c>
      <c r="G130" s="3"/>
      <c r="H130" s="4"/>
      <c r="I130" s="4">
        <v>2.89</v>
      </c>
      <c r="J130" s="3"/>
      <c r="K130" s="3"/>
      <c r="L130" s="4"/>
      <c r="M130" s="7">
        <f t="shared" si="2"/>
        <v>2.89</v>
      </c>
    </row>
    <row r="131" spans="1:13" x14ac:dyDescent="0.3">
      <c r="A131" s="3" t="s">
        <v>325</v>
      </c>
      <c r="B131" s="5" t="s">
        <v>257</v>
      </c>
      <c r="C131" s="3">
        <v>13</v>
      </c>
      <c r="D131" s="3" t="s">
        <v>410</v>
      </c>
      <c r="E131" s="3"/>
      <c r="F131" s="3">
        <v>1</v>
      </c>
      <c r="G131" s="3" t="s">
        <v>172</v>
      </c>
      <c r="H131" s="4"/>
      <c r="I131" s="4">
        <v>1.69</v>
      </c>
      <c r="J131" s="3"/>
      <c r="K131" s="3"/>
      <c r="L131" s="4"/>
      <c r="M131" s="7">
        <f t="shared" si="2"/>
        <v>1.69</v>
      </c>
    </row>
    <row r="132" spans="1:13" x14ac:dyDescent="0.3">
      <c r="A132" s="3" t="s">
        <v>325</v>
      </c>
      <c r="B132" s="5" t="s">
        <v>257</v>
      </c>
      <c r="C132" s="3">
        <v>14</v>
      </c>
      <c r="D132" s="3" t="s">
        <v>411</v>
      </c>
      <c r="E132" s="3"/>
      <c r="F132" s="3">
        <v>1</v>
      </c>
      <c r="G132" s="3"/>
      <c r="H132" s="4"/>
      <c r="I132" s="4">
        <v>1.89</v>
      </c>
      <c r="J132" s="3"/>
      <c r="K132" s="3"/>
      <c r="L132" s="4"/>
      <c r="M132" s="7">
        <f t="shared" si="2"/>
        <v>1.89</v>
      </c>
    </row>
    <row r="133" spans="1:13" x14ac:dyDescent="0.3">
      <c r="A133" s="3" t="s">
        <v>325</v>
      </c>
      <c r="B133" s="5" t="s">
        <v>257</v>
      </c>
      <c r="C133" s="3">
        <v>15</v>
      </c>
      <c r="D133" s="3" t="s">
        <v>412</v>
      </c>
      <c r="E133" s="3"/>
      <c r="F133" s="3">
        <v>1</v>
      </c>
      <c r="G133" s="3"/>
      <c r="H133" s="4"/>
      <c r="I133" s="4">
        <v>1.49</v>
      </c>
      <c r="J133" s="3"/>
      <c r="K133" s="3"/>
      <c r="L133" s="4"/>
      <c r="M133" s="7">
        <f t="shared" si="2"/>
        <v>1.49</v>
      </c>
    </row>
    <row r="134" spans="1:13" x14ac:dyDescent="0.3">
      <c r="A134" s="3" t="s">
        <v>325</v>
      </c>
      <c r="B134" s="5" t="s">
        <v>257</v>
      </c>
      <c r="C134" s="3">
        <v>16</v>
      </c>
      <c r="D134" s="3" t="s">
        <v>109</v>
      </c>
      <c r="E134" s="3"/>
      <c r="F134" s="3">
        <v>1</v>
      </c>
      <c r="G134" s="3"/>
      <c r="H134" s="4"/>
      <c r="I134" s="4">
        <v>0.28999999999999998</v>
      </c>
      <c r="J134" s="3"/>
      <c r="K134" s="3"/>
      <c r="L134" s="4"/>
      <c r="M134" s="7">
        <f t="shared" si="2"/>
        <v>0.28999999999999998</v>
      </c>
    </row>
    <row r="135" spans="1:13" x14ac:dyDescent="0.3">
      <c r="A135" s="3" t="s">
        <v>325</v>
      </c>
      <c r="B135" s="5" t="s">
        <v>257</v>
      </c>
      <c r="C135" s="3">
        <v>17</v>
      </c>
      <c r="D135" s="3" t="s">
        <v>413</v>
      </c>
      <c r="E135" s="3"/>
      <c r="F135" s="3">
        <v>2</v>
      </c>
      <c r="G135" s="3"/>
      <c r="H135" s="4">
        <v>0.79</v>
      </c>
      <c r="I135" s="4">
        <v>1.58</v>
      </c>
      <c r="J135" s="3"/>
      <c r="K135" s="3"/>
      <c r="L135" s="4"/>
      <c r="M135" s="7">
        <f t="shared" si="2"/>
        <v>1.58</v>
      </c>
    </row>
    <row r="136" spans="1:13" x14ac:dyDescent="0.3">
      <c r="A136" s="3" t="s">
        <v>332</v>
      </c>
      <c r="B136" s="5" t="s">
        <v>259</v>
      </c>
      <c r="C136" s="3">
        <v>1</v>
      </c>
      <c r="D136" s="3" t="s">
        <v>414</v>
      </c>
      <c r="E136" s="3"/>
      <c r="F136" s="3">
        <v>1</v>
      </c>
      <c r="G136" s="3" t="s">
        <v>415</v>
      </c>
      <c r="H136" s="4">
        <v>2.65</v>
      </c>
      <c r="I136" s="4">
        <v>3.24</v>
      </c>
      <c r="J136" s="3"/>
      <c r="K136" s="3"/>
      <c r="L136" s="4">
        <v>1.17</v>
      </c>
      <c r="M136" s="7">
        <f>I136-L136</f>
        <v>2.0700000000000003</v>
      </c>
    </row>
    <row r="137" spans="1:13" x14ac:dyDescent="0.3">
      <c r="A137" s="3" t="s">
        <v>332</v>
      </c>
      <c r="B137" s="5" t="s">
        <v>259</v>
      </c>
      <c r="C137" s="3">
        <v>2</v>
      </c>
      <c r="D137" s="3" t="s">
        <v>416</v>
      </c>
      <c r="E137" s="3"/>
      <c r="F137" s="3">
        <v>1</v>
      </c>
      <c r="G137" s="3"/>
      <c r="H137" s="4"/>
      <c r="I137" s="4">
        <v>1.29</v>
      </c>
      <c r="J137" s="3"/>
      <c r="K137" s="3"/>
      <c r="L137" s="4"/>
      <c r="M137" s="7">
        <f t="shared" ref="M137:M162" si="3">I137-L137</f>
        <v>1.29</v>
      </c>
    </row>
    <row r="138" spans="1:13" x14ac:dyDescent="0.3">
      <c r="A138" s="3" t="s">
        <v>332</v>
      </c>
      <c r="B138" s="5" t="s">
        <v>259</v>
      </c>
      <c r="C138" s="3">
        <v>3</v>
      </c>
      <c r="D138" s="3" t="s">
        <v>417</v>
      </c>
      <c r="E138" s="3"/>
      <c r="F138" s="3">
        <v>1</v>
      </c>
      <c r="G138" s="3"/>
      <c r="H138" s="4"/>
      <c r="I138" s="4">
        <v>0.89</v>
      </c>
      <c r="J138" s="3"/>
      <c r="K138" s="3"/>
      <c r="L138" s="4"/>
      <c r="M138" s="7">
        <f t="shared" si="3"/>
        <v>0.89</v>
      </c>
    </row>
    <row r="139" spans="1:13" x14ac:dyDescent="0.3">
      <c r="A139" s="3" t="s">
        <v>332</v>
      </c>
      <c r="B139" s="5" t="s">
        <v>259</v>
      </c>
      <c r="C139" s="3">
        <v>4</v>
      </c>
      <c r="D139" s="3" t="s">
        <v>418</v>
      </c>
      <c r="E139" s="3"/>
      <c r="F139" s="3">
        <v>1</v>
      </c>
      <c r="G139" s="3"/>
      <c r="H139" s="4"/>
      <c r="I139" s="4">
        <v>0.89</v>
      </c>
      <c r="J139" s="3"/>
      <c r="K139" s="3"/>
      <c r="L139" s="4"/>
      <c r="M139" s="7">
        <f t="shared" si="3"/>
        <v>0.89</v>
      </c>
    </row>
    <row r="140" spans="1:13" x14ac:dyDescent="0.3">
      <c r="A140" s="3" t="s">
        <v>332</v>
      </c>
      <c r="B140" s="5" t="s">
        <v>259</v>
      </c>
      <c r="C140" s="3">
        <v>5</v>
      </c>
      <c r="D140" s="3" t="s">
        <v>419</v>
      </c>
      <c r="E140" s="3"/>
      <c r="F140" s="3">
        <v>1</v>
      </c>
      <c r="G140" s="3"/>
      <c r="H140" s="4"/>
      <c r="I140" s="4">
        <v>1.49</v>
      </c>
      <c r="J140" s="3"/>
      <c r="K140" s="3"/>
      <c r="L140" s="4"/>
      <c r="M140" s="7">
        <f t="shared" si="3"/>
        <v>1.49</v>
      </c>
    </row>
    <row r="141" spans="1:13" x14ac:dyDescent="0.3">
      <c r="A141" s="3" t="s">
        <v>332</v>
      </c>
      <c r="B141" s="5" t="s">
        <v>259</v>
      </c>
      <c r="C141" s="3">
        <v>6</v>
      </c>
      <c r="D141" s="3" t="s">
        <v>420</v>
      </c>
      <c r="E141" s="3"/>
      <c r="F141" s="3">
        <v>1</v>
      </c>
      <c r="G141" s="3"/>
      <c r="H141" s="4"/>
      <c r="I141" s="4">
        <v>0.89</v>
      </c>
      <c r="J141" s="3"/>
      <c r="K141" s="3"/>
      <c r="L141" s="4"/>
      <c r="M141" s="7">
        <f t="shared" si="3"/>
        <v>0.89</v>
      </c>
    </row>
    <row r="142" spans="1:13" x14ac:dyDescent="0.3">
      <c r="A142" s="3" t="s">
        <v>332</v>
      </c>
      <c r="B142" s="5" t="s">
        <v>259</v>
      </c>
      <c r="C142" s="3">
        <v>7</v>
      </c>
      <c r="D142" s="3" t="s">
        <v>421</v>
      </c>
      <c r="E142" s="3"/>
      <c r="F142" s="3">
        <v>1</v>
      </c>
      <c r="G142" s="3"/>
      <c r="H142" s="4"/>
      <c r="I142" s="4">
        <v>2.39</v>
      </c>
      <c r="J142" s="3"/>
      <c r="K142" s="3"/>
      <c r="L142" s="4"/>
      <c r="M142" s="7">
        <f t="shared" si="3"/>
        <v>2.39</v>
      </c>
    </row>
    <row r="143" spans="1:13" x14ac:dyDescent="0.3">
      <c r="A143" s="3" t="s">
        <v>332</v>
      </c>
      <c r="B143" s="5" t="s">
        <v>259</v>
      </c>
      <c r="C143" s="3">
        <v>8</v>
      </c>
      <c r="D143" s="3" t="s">
        <v>422</v>
      </c>
      <c r="E143" s="3"/>
      <c r="F143" s="3">
        <v>1</v>
      </c>
      <c r="G143" s="3"/>
      <c r="H143" s="4"/>
      <c r="I143" s="4">
        <v>1.49</v>
      </c>
      <c r="J143" s="3"/>
      <c r="K143" s="3"/>
      <c r="L143" s="4"/>
      <c r="M143" s="7">
        <f t="shared" si="3"/>
        <v>1.49</v>
      </c>
    </row>
    <row r="144" spans="1:13" x14ac:dyDescent="0.3">
      <c r="A144" s="3" t="s">
        <v>332</v>
      </c>
      <c r="B144" s="5" t="s">
        <v>259</v>
      </c>
      <c r="C144" s="3">
        <v>9</v>
      </c>
      <c r="D144" s="3" t="s">
        <v>404</v>
      </c>
      <c r="E144" s="3"/>
      <c r="F144" s="3">
        <v>2</v>
      </c>
      <c r="G144" s="3"/>
      <c r="H144" s="4">
        <v>4.99</v>
      </c>
      <c r="I144" s="4">
        <v>9.98</v>
      </c>
      <c r="J144" s="3"/>
      <c r="K144" s="3"/>
      <c r="L144" s="4"/>
      <c r="M144" s="7">
        <f t="shared" si="3"/>
        <v>9.98</v>
      </c>
    </row>
    <row r="145" spans="1:13" x14ac:dyDescent="0.3">
      <c r="A145" s="3" t="s">
        <v>332</v>
      </c>
      <c r="B145" s="5" t="s">
        <v>259</v>
      </c>
      <c r="C145" s="3">
        <v>10</v>
      </c>
      <c r="D145" s="3" t="s">
        <v>423</v>
      </c>
      <c r="E145" s="3"/>
      <c r="F145" s="3">
        <v>1</v>
      </c>
      <c r="G145" s="3"/>
      <c r="H145" s="4"/>
      <c r="I145" s="4">
        <v>2.59</v>
      </c>
      <c r="J145" s="3"/>
      <c r="K145" s="3"/>
      <c r="L145" s="4"/>
      <c r="M145" s="7">
        <f t="shared" si="3"/>
        <v>2.59</v>
      </c>
    </row>
    <row r="146" spans="1:13" x14ac:dyDescent="0.3">
      <c r="A146" s="3" t="s">
        <v>332</v>
      </c>
      <c r="B146" s="5" t="s">
        <v>259</v>
      </c>
      <c r="C146" s="3">
        <v>11</v>
      </c>
      <c r="D146" s="3" t="s">
        <v>424</v>
      </c>
      <c r="E146" s="3"/>
      <c r="F146" s="3">
        <v>1</v>
      </c>
      <c r="G146" s="3"/>
      <c r="H146" s="4"/>
      <c r="I146" s="4">
        <v>1.79</v>
      </c>
      <c r="J146" s="3"/>
      <c r="K146" s="3"/>
      <c r="L146" s="4"/>
      <c r="M146" s="7">
        <f t="shared" si="3"/>
        <v>1.79</v>
      </c>
    </row>
    <row r="147" spans="1:13" x14ac:dyDescent="0.3">
      <c r="A147" s="3" t="s">
        <v>332</v>
      </c>
      <c r="B147" s="5" t="s">
        <v>259</v>
      </c>
      <c r="C147" s="3">
        <v>12</v>
      </c>
      <c r="D147" s="3" t="s">
        <v>104</v>
      </c>
      <c r="E147" s="3"/>
      <c r="F147" s="3">
        <v>2</v>
      </c>
      <c r="G147" s="3"/>
      <c r="H147" s="4">
        <v>0.79</v>
      </c>
      <c r="I147" s="4">
        <v>1.58</v>
      </c>
      <c r="J147" s="3"/>
      <c r="K147" s="3"/>
      <c r="L147" s="4"/>
      <c r="M147" s="7">
        <f t="shared" si="3"/>
        <v>1.58</v>
      </c>
    </row>
    <row r="148" spans="1:13" x14ac:dyDescent="0.3">
      <c r="A148" s="3" t="s">
        <v>332</v>
      </c>
      <c r="B148" s="5" t="s">
        <v>259</v>
      </c>
      <c r="C148" s="3">
        <v>13</v>
      </c>
      <c r="D148" s="3" t="s">
        <v>425</v>
      </c>
      <c r="E148" s="3"/>
      <c r="F148" s="3">
        <v>1</v>
      </c>
      <c r="G148" s="3"/>
      <c r="H148" s="4"/>
      <c r="I148" s="4">
        <v>1.69</v>
      </c>
      <c r="J148" s="3"/>
      <c r="K148" s="3"/>
      <c r="L148" s="4"/>
      <c r="M148" s="7">
        <f t="shared" si="3"/>
        <v>1.69</v>
      </c>
    </row>
    <row r="149" spans="1:13" x14ac:dyDescent="0.3">
      <c r="A149" s="3" t="s">
        <v>332</v>
      </c>
      <c r="B149" s="5" t="s">
        <v>259</v>
      </c>
      <c r="C149" s="3">
        <v>14</v>
      </c>
      <c r="D149" s="3" t="s">
        <v>426</v>
      </c>
      <c r="E149" s="3"/>
      <c r="F149" s="3">
        <v>1</v>
      </c>
      <c r="G149" s="3"/>
      <c r="H149" s="4"/>
      <c r="I149" s="4">
        <v>0.99</v>
      </c>
      <c r="J149" s="3"/>
      <c r="K149" s="3"/>
      <c r="L149" s="4"/>
      <c r="M149" s="7">
        <f t="shared" si="3"/>
        <v>0.99</v>
      </c>
    </row>
    <row r="150" spans="1:13" x14ac:dyDescent="0.3">
      <c r="A150" s="3" t="s">
        <v>332</v>
      </c>
      <c r="B150" s="5" t="s">
        <v>259</v>
      </c>
      <c r="C150" s="3">
        <v>15</v>
      </c>
      <c r="D150" s="3" t="s">
        <v>427</v>
      </c>
      <c r="E150" s="3"/>
      <c r="F150" s="3">
        <v>2</v>
      </c>
      <c r="G150" s="3"/>
      <c r="H150" s="4">
        <v>0.57999999999999996</v>
      </c>
      <c r="I150" s="4">
        <v>1.1599999999999999</v>
      </c>
      <c r="J150" s="3"/>
      <c r="K150" s="3"/>
      <c r="L150" s="4"/>
      <c r="M150" s="7">
        <f t="shared" si="3"/>
        <v>1.1599999999999999</v>
      </c>
    </row>
    <row r="151" spans="1:13" x14ac:dyDescent="0.3">
      <c r="A151" s="3" t="s">
        <v>332</v>
      </c>
      <c r="B151" s="5" t="s">
        <v>259</v>
      </c>
      <c r="C151" s="3">
        <v>16</v>
      </c>
      <c r="D151" s="3" t="s">
        <v>428</v>
      </c>
      <c r="E151" s="3"/>
      <c r="F151" s="3">
        <v>2</v>
      </c>
      <c r="G151" s="3"/>
      <c r="H151" s="4">
        <v>0.49</v>
      </c>
      <c r="I151" s="4">
        <v>0.98</v>
      </c>
      <c r="J151" s="3"/>
      <c r="K151" s="3"/>
      <c r="L151" s="4"/>
      <c r="M151" s="7">
        <f t="shared" si="3"/>
        <v>0.98</v>
      </c>
    </row>
    <row r="152" spans="1:13" x14ac:dyDescent="0.3">
      <c r="A152" s="3" t="s">
        <v>332</v>
      </c>
      <c r="B152" s="5" t="s">
        <v>259</v>
      </c>
      <c r="C152" s="3">
        <v>17</v>
      </c>
      <c r="D152" s="3" t="s">
        <v>429</v>
      </c>
      <c r="E152" s="3"/>
      <c r="F152" s="3">
        <v>2</v>
      </c>
      <c r="G152" s="3"/>
      <c r="H152" s="4">
        <v>0.99</v>
      </c>
      <c r="I152" s="4">
        <v>1.98</v>
      </c>
      <c r="J152" s="3"/>
      <c r="K152" s="3"/>
      <c r="L152" s="4"/>
      <c r="M152" s="7">
        <f t="shared" si="3"/>
        <v>1.98</v>
      </c>
    </row>
    <row r="153" spans="1:13" x14ac:dyDescent="0.3">
      <c r="A153" s="3" t="s">
        <v>337</v>
      </c>
      <c r="B153" s="5" t="s">
        <v>261</v>
      </c>
      <c r="C153" s="3">
        <v>1</v>
      </c>
      <c r="D153" s="3" t="s">
        <v>430</v>
      </c>
      <c r="E153" s="3" t="s">
        <v>431</v>
      </c>
      <c r="F153" s="3">
        <v>1</v>
      </c>
      <c r="G153" s="3"/>
      <c r="H153" s="4">
        <f t="shared" ref="H153:H159" si="4">M153/F153</f>
        <v>199</v>
      </c>
      <c r="I153" s="4">
        <v>199</v>
      </c>
      <c r="J153" s="3"/>
      <c r="K153" s="3"/>
      <c r="L153" s="4"/>
      <c r="M153" s="7">
        <f t="shared" si="3"/>
        <v>199</v>
      </c>
    </row>
    <row r="154" spans="1:13" x14ac:dyDescent="0.3">
      <c r="A154" s="3" t="s">
        <v>337</v>
      </c>
      <c r="B154" s="5" t="s">
        <v>261</v>
      </c>
      <c r="C154" s="3">
        <v>2</v>
      </c>
      <c r="D154" s="3" t="s">
        <v>153</v>
      </c>
      <c r="E154" s="3"/>
      <c r="F154" s="3">
        <v>1</v>
      </c>
      <c r="G154" s="3"/>
      <c r="H154" s="4">
        <f t="shared" si="4"/>
        <v>4.95</v>
      </c>
      <c r="I154" s="4">
        <v>4.95</v>
      </c>
      <c r="J154" s="3"/>
      <c r="K154" s="3"/>
      <c r="L154" s="4"/>
      <c r="M154" s="7">
        <f t="shared" si="3"/>
        <v>4.95</v>
      </c>
    </row>
    <row r="155" spans="1:13" x14ac:dyDescent="0.3">
      <c r="A155" s="3" t="s">
        <v>343</v>
      </c>
      <c r="B155" s="5" t="s">
        <v>263</v>
      </c>
      <c r="C155" s="3">
        <v>1</v>
      </c>
      <c r="D155" s="3" t="s">
        <v>432</v>
      </c>
      <c r="E155" s="3"/>
      <c r="F155" s="3">
        <v>1</v>
      </c>
      <c r="G155" s="3"/>
      <c r="H155" s="4">
        <f t="shared" si="4"/>
        <v>479</v>
      </c>
      <c r="I155" s="4">
        <v>479</v>
      </c>
      <c r="J155" s="3"/>
      <c r="K155" s="3"/>
      <c r="L155" s="4"/>
      <c r="M155" s="7">
        <f t="shared" si="3"/>
        <v>479</v>
      </c>
    </row>
    <row r="156" spans="1:13" x14ac:dyDescent="0.3">
      <c r="A156" s="3" t="s">
        <v>347</v>
      </c>
      <c r="B156" s="5" t="s">
        <v>348</v>
      </c>
      <c r="C156" s="3">
        <v>1</v>
      </c>
      <c r="D156" s="3" t="s">
        <v>433</v>
      </c>
      <c r="E156" s="3"/>
      <c r="F156" s="3">
        <v>1</v>
      </c>
      <c r="G156" s="3"/>
      <c r="H156" s="4">
        <f t="shared" si="4"/>
        <v>2.99</v>
      </c>
      <c r="I156" s="4">
        <v>2.99</v>
      </c>
      <c r="J156" s="3" t="s">
        <v>434</v>
      </c>
      <c r="K156" s="3"/>
      <c r="L156" s="4"/>
      <c r="M156" s="7">
        <f t="shared" si="3"/>
        <v>2.99</v>
      </c>
    </row>
    <row r="157" spans="1:13" x14ac:dyDescent="0.3">
      <c r="A157" s="3" t="s">
        <v>347</v>
      </c>
      <c r="B157" s="5" t="s">
        <v>348</v>
      </c>
      <c r="C157" s="3">
        <v>2</v>
      </c>
      <c r="D157" s="3" t="s">
        <v>435</v>
      </c>
      <c r="E157" s="3"/>
      <c r="F157" s="3">
        <v>1</v>
      </c>
      <c r="G157" s="3"/>
      <c r="H157" s="4">
        <f t="shared" si="4"/>
        <v>2.99</v>
      </c>
      <c r="I157" s="4">
        <v>2.99</v>
      </c>
      <c r="J157" s="3" t="s">
        <v>436</v>
      </c>
      <c r="K157" s="3"/>
      <c r="L157" s="4"/>
      <c r="M157" s="7">
        <f t="shared" si="3"/>
        <v>2.99</v>
      </c>
    </row>
    <row r="158" spans="1:13" x14ac:dyDescent="0.3">
      <c r="A158" s="3" t="s">
        <v>347</v>
      </c>
      <c r="B158" s="5" t="s">
        <v>348</v>
      </c>
      <c r="C158" s="3">
        <v>3</v>
      </c>
      <c r="D158" s="3" t="s">
        <v>437</v>
      </c>
      <c r="E158" s="3"/>
      <c r="F158" s="3">
        <v>1</v>
      </c>
      <c r="G158" s="3"/>
      <c r="H158" s="4">
        <f t="shared" si="4"/>
        <v>2.79</v>
      </c>
      <c r="I158" s="4">
        <v>2.79</v>
      </c>
      <c r="J158" s="3" t="s">
        <v>438</v>
      </c>
      <c r="K158" s="3"/>
      <c r="L158" s="4"/>
      <c r="M158" s="7">
        <f t="shared" si="3"/>
        <v>2.79</v>
      </c>
    </row>
    <row r="159" spans="1:13" x14ac:dyDescent="0.3">
      <c r="A159" s="3" t="s">
        <v>347</v>
      </c>
      <c r="B159" s="5" t="s">
        <v>348</v>
      </c>
      <c r="C159" s="3">
        <v>4</v>
      </c>
      <c r="D159" s="3" t="s">
        <v>439</v>
      </c>
      <c r="E159" s="3"/>
      <c r="F159" s="3">
        <v>1</v>
      </c>
      <c r="G159" s="3" t="s">
        <v>440</v>
      </c>
      <c r="H159" s="4">
        <f t="shared" si="4"/>
        <v>12.59</v>
      </c>
      <c r="I159" s="4">
        <v>12.59</v>
      </c>
      <c r="J159" s="3" t="s">
        <v>441</v>
      </c>
      <c r="K159" s="3"/>
      <c r="L159" s="4"/>
      <c r="M159" s="7">
        <f t="shared" si="3"/>
        <v>12.59</v>
      </c>
    </row>
    <row r="160" spans="1:13" x14ac:dyDescent="0.3">
      <c r="A160" s="3" t="s">
        <v>347</v>
      </c>
      <c r="B160" s="5" t="s">
        <v>348</v>
      </c>
      <c r="C160" s="3">
        <v>5</v>
      </c>
      <c r="D160" s="3" t="s">
        <v>442</v>
      </c>
      <c r="E160" s="3"/>
      <c r="F160" s="3">
        <v>1</v>
      </c>
      <c r="G160" s="3" t="s">
        <v>443</v>
      </c>
      <c r="H160" s="4">
        <f>M160/F160</f>
        <v>29.19</v>
      </c>
      <c r="I160" s="4">
        <v>36.49</v>
      </c>
      <c r="J160" s="3" t="s">
        <v>444</v>
      </c>
      <c r="K160" s="3"/>
      <c r="L160" s="4">
        <v>7.3</v>
      </c>
      <c r="M160" s="7">
        <f t="shared" si="3"/>
        <v>29.19</v>
      </c>
    </row>
    <row r="161" spans="1:14" x14ac:dyDescent="0.3">
      <c r="A161" s="3" t="s">
        <v>347</v>
      </c>
      <c r="B161" s="5" t="s">
        <v>348</v>
      </c>
      <c r="C161" s="3">
        <v>6</v>
      </c>
      <c r="D161" s="3" t="s">
        <v>445</v>
      </c>
      <c r="E161" s="3"/>
      <c r="F161" s="3">
        <v>1</v>
      </c>
      <c r="G161" s="3" t="s">
        <v>446</v>
      </c>
      <c r="H161" s="4">
        <f>M161/F161</f>
        <v>5.99</v>
      </c>
      <c r="I161" s="4">
        <v>5.99</v>
      </c>
      <c r="J161" s="3" t="s">
        <v>447</v>
      </c>
      <c r="K161" s="3"/>
      <c r="L161" s="4"/>
      <c r="M161" s="7">
        <f t="shared" si="3"/>
        <v>5.99</v>
      </c>
    </row>
    <row r="162" spans="1:14" ht="15" customHeight="1" x14ac:dyDescent="0.3">
      <c r="A162" t="s">
        <v>356</v>
      </c>
      <c r="B162" s="12" t="s">
        <v>473</v>
      </c>
      <c r="C162">
        <v>1</v>
      </c>
      <c r="D162" t="s">
        <v>474</v>
      </c>
      <c r="F162">
        <v>1</v>
      </c>
      <c r="H162" s="13">
        <f>M162/F162</f>
        <v>1.8</v>
      </c>
      <c r="I162" s="13">
        <v>1.8</v>
      </c>
      <c r="L162" s="14"/>
      <c r="M162" s="15">
        <f t="shared" si="3"/>
        <v>1.8</v>
      </c>
    </row>
    <row r="163" spans="1:14" ht="15" customHeight="1" x14ac:dyDescent="0.3">
      <c r="A163" s="16" t="s">
        <v>358</v>
      </c>
      <c r="B163" s="17" t="s">
        <v>473</v>
      </c>
      <c r="C163" s="16">
        <v>2</v>
      </c>
      <c r="D163" s="16" t="s">
        <v>475</v>
      </c>
      <c r="E163" s="16"/>
      <c r="F163" s="16">
        <v>1</v>
      </c>
      <c r="G163" s="16"/>
      <c r="H163" s="14">
        <f>M163/F163</f>
        <v>3.6</v>
      </c>
      <c r="I163" s="14">
        <v>3.6</v>
      </c>
      <c r="J163" s="16"/>
      <c r="K163" s="16"/>
      <c r="L163" s="14"/>
      <c r="M163" s="15">
        <f t="shared" ref="M163" si="5">I163-L163</f>
        <v>3.6</v>
      </c>
      <c r="N163" s="16"/>
    </row>
  </sheetData>
  <phoneticPr fontId="4" type="noConversion"/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>
      <pane ySplit="1" topLeftCell="A14" activePane="bottomLeft" state="frozen"/>
      <selection pane="bottomLeft" activeCell="A30" sqref="A30"/>
    </sheetView>
  </sheetViews>
  <sheetFormatPr defaultRowHeight="14.4" x14ac:dyDescent="0.3"/>
  <cols>
    <col min="1" max="1" width="24" customWidth="1"/>
    <col min="2" max="2" width="26" customWidth="1"/>
    <col min="3" max="3" width="48" customWidth="1"/>
    <col min="5" max="5" width="80" customWidth="1"/>
  </cols>
  <sheetData>
    <row r="1" spans="1:5" x14ac:dyDescent="0.3">
      <c r="A1" s="1" t="s">
        <v>1</v>
      </c>
      <c r="B1" s="1" t="s">
        <v>242</v>
      </c>
      <c r="C1" s="1" t="s">
        <v>11</v>
      </c>
      <c r="E1" t="s">
        <v>243</v>
      </c>
    </row>
    <row r="2" spans="1:5" x14ac:dyDescent="0.3">
      <c r="A2" s="3" t="s">
        <v>244</v>
      </c>
      <c r="B2" s="3" t="s">
        <v>245</v>
      </c>
      <c r="C2" s="3" t="s">
        <v>246</v>
      </c>
      <c r="E2" t="s">
        <v>247</v>
      </c>
    </row>
    <row r="3" spans="1:5" x14ac:dyDescent="0.3">
      <c r="A3" s="3" t="s">
        <v>248</v>
      </c>
      <c r="B3" s="3" t="s">
        <v>245</v>
      </c>
      <c r="C3" s="3" t="s">
        <v>246</v>
      </c>
      <c r="E3" t="s">
        <v>249</v>
      </c>
    </row>
    <row r="4" spans="1:5" x14ac:dyDescent="0.3">
      <c r="A4" s="3" t="s">
        <v>250</v>
      </c>
      <c r="B4" s="3" t="s">
        <v>245</v>
      </c>
      <c r="C4" s="3" t="s">
        <v>246</v>
      </c>
    </row>
    <row r="5" spans="1:5" x14ac:dyDescent="0.3">
      <c r="A5" s="3" t="s">
        <v>251</v>
      </c>
      <c r="B5" s="3" t="s">
        <v>245</v>
      </c>
      <c r="C5" s="3" t="s">
        <v>246</v>
      </c>
    </row>
    <row r="6" spans="1:5" x14ac:dyDescent="0.3">
      <c r="A6" s="3" t="s">
        <v>252</v>
      </c>
      <c r="B6" s="3" t="s">
        <v>245</v>
      </c>
      <c r="C6" s="3" t="s">
        <v>246</v>
      </c>
    </row>
    <row r="7" spans="1:5" x14ac:dyDescent="0.3">
      <c r="A7" s="3" t="s">
        <v>253</v>
      </c>
      <c r="B7" s="3" t="s">
        <v>245</v>
      </c>
      <c r="C7" s="3" t="s">
        <v>246</v>
      </c>
    </row>
    <row r="8" spans="1:5" x14ac:dyDescent="0.3">
      <c r="A8" s="3" t="s">
        <v>254</v>
      </c>
      <c r="B8" s="3" t="s">
        <v>245</v>
      </c>
      <c r="C8" s="3" t="s">
        <v>255</v>
      </c>
    </row>
    <row r="9" spans="1:5" x14ac:dyDescent="0.3">
      <c r="A9" s="3" t="s">
        <v>256</v>
      </c>
      <c r="B9" s="3" t="s">
        <v>245</v>
      </c>
      <c r="C9" s="3" t="s">
        <v>255</v>
      </c>
    </row>
    <row r="10" spans="1:5" x14ac:dyDescent="0.3">
      <c r="A10" s="3" t="s">
        <v>257</v>
      </c>
      <c r="B10" s="3" t="s">
        <v>245</v>
      </c>
      <c r="C10" s="3" t="s">
        <v>258</v>
      </c>
    </row>
    <row r="11" spans="1:5" x14ac:dyDescent="0.3">
      <c r="A11" s="3" t="s">
        <v>259</v>
      </c>
      <c r="B11" s="3" t="s">
        <v>245</v>
      </c>
      <c r="C11" s="3" t="s">
        <v>258</v>
      </c>
    </row>
    <row r="12" spans="1:5" x14ac:dyDescent="0.3">
      <c r="A12" s="3" t="s">
        <v>260</v>
      </c>
      <c r="B12" s="3" t="s">
        <v>245</v>
      </c>
      <c r="C12" s="3" t="s">
        <v>258</v>
      </c>
    </row>
    <row r="13" spans="1:5" x14ac:dyDescent="0.3">
      <c r="A13" s="3" t="s">
        <v>261</v>
      </c>
      <c r="B13" s="3" t="s">
        <v>245</v>
      </c>
      <c r="C13" s="3" t="s">
        <v>262</v>
      </c>
    </row>
    <row r="14" spans="1:5" x14ac:dyDescent="0.3">
      <c r="A14" s="3" t="s">
        <v>263</v>
      </c>
      <c r="B14" s="3" t="s">
        <v>245</v>
      </c>
      <c r="C14" s="3" t="s">
        <v>262</v>
      </c>
    </row>
    <row r="15" spans="1:5" x14ac:dyDescent="0.3">
      <c r="A15" s="3" t="s">
        <v>264</v>
      </c>
      <c r="B15" s="3" t="s">
        <v>245</v>
      </c>
      <c r="C15" s="3" t="s">
        <v>262</v>
      </c>
    </row>
    <row r="16" spans="1:5" x14ac:dyDescent="0.3">
      <c r="A16" s="3" t="s">
        <v>265</v>
      </c>
      <c r="B16" s="3" t="s">
        <v>245</v>
      </c>
      <c r="C16" s="3" t="s">
        <v>262</v>
      </c>
    </row>
    <row r="17" spans="1:5" x14ac:dyDescent="0.3">
      <c r="A17" s="3" t="s">
        <v>266</v>
      </c>
      <c r="B17" s="3" t="s">
        <v>245</v>
      </c>
      <c r="C17" s="3" t="s">
        <v>267</v>
      </c>
    </row>
    <row r="18" spans="1:5" x14ac:dyDescent="0.3">
      <c r="A18" s="3" t="s">
        <v>268</v>
      </c>
      <c r="B18" s="3" t="s">
        <v>245</v>
      </c>
      <c r="C18" s="3" t="s">
        <v>262</v>
      </c>
    </row>
    <row r="19" spans="1:5" x14ac:dyDescent="0.3">
      <c r="A19" s="3" t="s">
        <v>244</v>
      </c>
      <c r="B19" s="3" t="s">
        <v>448</v>
      </c>
      <c r="C19" s="3" t="s">
        <v>449</v>
      </c>
      <c r="E19" t="s">
        <v>247</v>
      </c>
    </row>
    <row r="20" spans="1:5" x14ac:dyDescent="0.3">
      <c r="A20" s="3" t="s">
        <v>467</v>
      </c>
      <c r="B20" s="3" t="s">
        <v>450</v>
      </c>
      <c r="C20" s="3" t="s">
        <v>451</v>
      </c>
      <c r="E20" t="s">
        <v>249</v>
      </c>
    </row>
    <row r="21" spans="1:5" x14ac:dyDescent="0.3">
      <c r="A21" s="3" t="s">
        <v>319</v>
      </c>
      <c r="B21" s="3" t="s">
        <v>245</v>
      </c>
      <c r="C21" s="3" t="s">
        <v>452</v>
      </c>
    </row>
    <row r="22" spans="1:5" x14ac:dyDescent="0.3">
      <c r="A22" s="3" t="s">
        <v>251</v>
      </c>
      <c r="B22" s="3" t="s">
        <v>450</v>
      </c>
      <c r="C22" s="3" t="s">
        <v>453</v>
      </c>
    </row>
    <row r="23" spans="1:5" x14ac:dyDescent="0.3">
      <c r="A23" s="3" t="s">
        <v>252</v>
      </c>
      <c r="B23" s="3" t="s">
        <v>448</v>
      </c>
      <c r="C23" s="3" t="s">
        <v>454</v>
      </c>
    </row>
    <row r="24" spans="1:5" x14ac:dyDescent="0.3">
      <c r="A24" s="3" t="s">
        <v>299</v>
      </c>
      <c r="B24" s="3" t="s">
        <v>448</v>
      </c>
      <c r="C24" s="3" t="s">
        <v>455</v>
      </c>
    </row>
    <row r="25" spans="1:5" x14ac:dyDescent="0.3">
      <c r="A25" s="3" t="s">
        <v>280</v>
      </c>
      <c r="B25" s="3" t="s">
        <v>448</v>
      </c>
      <c r="C25" s="3" t="s">
        <v>456</v>
      </c>
    </row>
    <row r="26" spans="1:5" x14ac:dyDescent="0.3">
      <c r="A26" s="3" t="s">
        <v>359</v>
      </c>
      <c r="B26" s="3" t="s">
        <v>245</v>
      </c>
      <c r="C26" s="3" t="s">
        <v>457</v>
      </c>
    </row>
    <row r="27" spans="1:5" x14ac:dyDescent="0.3">
      <c r="A27" s="3" t="s">
        <v>257</v>
      </c>
      <c r="B27" s="3" t="s">
        <v>450</v>
      </c>
      <c r="C27" s="3" t="s">
        <v>458</v>
      </c>
    </row>
    <row r="28" spans="1:5" x14ac:dyDescent="0.3">
      <c r="A28" s="3" t="s">
        <v>259</v>
      </c>
      <c r="B28" s="3" t="s">
        <v>450</v>
      </c>
      <c r="C28" s="3" t="s">
        <v>458</v>
      </c>
    </row>
    <row r="29" spans="1:5" x14ac:dyDescent="0.3">
      <c r="A29" s="3" t="s">
        <v>260</v>
      </c>
      <c r="B29" s="3" t="s">
        <v>450</v>
      </c>
      <c r="C29" s="3" t="s">
        <v>459</v>
      </c>
    </row>
    <row r="30" spans="1:5" x14ac:dyDescent="0.3">
      <c r="A30" s="3" t="s">
        <v>261</v>
      </c>
      <c r="B30" s="3" t="s">
        <v>450</v>
      </c>
      <c r="C30" s="3" t="s">
        <v>460</v>
      </c>
    </row>
    <row r="31" spans="1:5" x14ac:dyDescent="0.3">
      <c r="A31" s="3" t="s">
        <v>263</v>
      </c>
      <c r="B31" s="3" t="s">
        <v>450</v>
      </c>
      <c r="C31" s="3" t="s">
        <v>460</v>
      </c>
    </row>
    <row r="32" spans="1:5" x14ac:dyDescent="0.3">
      <c r="A32" s="3" t="s">
        <v>348</v>
      </c>
      <c r="B32" s="3" t="s">
        <v>450</v>
      </c>
      <c r="C32" s="3" t="s">
        <v>461</v>
      </c>
    </row>
    <row r="33" spans="1:3" x14ac:dyDescent="0.3">
      <c r="A33" s="3" t="s">
        <v>357</v>
      </c>
      <c r="B33" s="3" t="s">
        <v>245</v>
      </c>
      <c r="C33" s="3" t="s">
        <v>462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Receipts</vt:lpstr>
      <vt:lpstr>Receipt_Lines</vt:lpstr>
      <vt:lpstr>Extraction_Status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Michiel Uijting</cp:lastModifiedBy>
  <dcterms:created xsi:type="dcterms:W3CDTF">2026-04-06T07:45:26Z</dcterms:created>
  <dcterms:modified xsi:type="dcterms:W3CDTF">2026-04-07T10:02:34Z</dcterms:modified>
</cp:coreProperties>
</file>