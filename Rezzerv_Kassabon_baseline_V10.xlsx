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017b40aeb31bb47/Scans/Documenten/Bureaublad/bonnen/"/>
    </mc:Choice>
  </mc:AlternateContent>
  <xr:revisionPtr revIDLastSave="0" documentId="8_{C1D79B41-87C5-4410-9778-6A682FD9EE86}" xr6:coauthVersionLast="47" xr6:coauthVersionMax="47" xr10:uidLastSave="{00000000-0000-0000-0000-000000000000}"/>
  <bookViews>
    <workbookView xWindow="0" yWindow="0" windowWidth="14340" windowHeight="12336" activeTab="2" xr2:uid="{00000000-000D-0000-FFFF-FFFF00000000}"/>
  </bookViews>
  <sheets>
    <sheet name="Wijzigingen_PO" sheetId="1" r:id="rId1"/>
    <sheet name="Receipts" sheetId="2" r:id="rId2"/>
    <sheet name="Receipt_Lines" sheetId="3" r:id="rId3"/>
    <sheet name="Wijzigingen" sheetId="4" r:id="rId4"/>
  </sheets>
  <definedNames>
    <definedName name="_xlnm._FilterDatabase" localSheetId="3" hidden="1">Wijzigingen!$A$1:$J$202</definedName>
    <definedName name="_xlnm._FilterDatabase" localSheetId="0" hidden="1">Wijzigingen_PO!$A$1:$J$20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9" i="4" l="1"/>
  <c r="I179" i="4"/>
  <c r="I32" i="4"/>
  <c r="H26" i="4"/>
  <c r="H21" i="4"/>
  <c r="J321" i="3"/>
  <c r="J320" i="3"/>
  <c r="J319" i="3"/>
  <c r="J318" i="3"/>
  <c r="J317" i="3"/>
  <c r="J316" i="3"/>
  <c r="J315" i="3"/>
  <c r="J314" i="3"/>
  <c r="J313" i="3"/>
  <c r="J312" i="3"/>
  <c r="J311" i="3"/>
  <c r="J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G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L167" i="3"/>
  <c r="J167" i="3"/>
  <c r="L166" i="3"/>
  <c r="J166" i="3"/>
  <c r="L165" i="3"/>
  <c r="J165" i="3"/>
  <c r="L164" i="3"/>
  <c r="J164" i="3"/>
  <c r="G164" i="3"/>
  <c r="L163" i="3"/>
  <c r="J163" i="3"/>
  <c r="G163" i="3"/>
  <c r="L162" i="3"/>
  <c r="J162" i="3"/>
  <c r="G162" i="3"/>
  <c r="L161" i="3"/>
  <c r="J161" i="3"/>
  <c r="L160" i="3"/>
  <c r="J160" i="3"/>
  <c r="L159" i="3"/>
  <c r="J159" i="3"/>
  <c r="L158" i="3"/>
  <c r="J158" i="3"/>
  <c r="L157" i="3"/>
  <c r="J157" i="3"/>
  <c r="G157" i="3"/>
  <c r="L156" i="3"/>
  <c r="J156" i="3"/>
  <c r="L155" i="3"/>
  <c r="J155" i="3"/>
  <c r="L154" i="3"/>
  <c r="J154" i="3"/>
  <c r="L153" i="3"/>
  <c r="J153" i="3"/>
  <c r="L152" i="3"/>
  <c r="J152" i="3"/>
  <c r="L151" i="3"/>
  <c r="J151" i="3"/>
  <c r="L150" i="3"/>
  <c r="J150" i="3"/>
  <c r="L149" i="3"/>
  <c r="J149" i="3"/>
  <c r="L148" i="3"/>
  <c r="J148" i="3"/>
  <c r="L147" i="3"/>
  <c r="J147" i="3"/>
  <c r="L146" i="3"/>
  <c r="J146" i="3"/>
  <c r="L145" i="3"/>
  <c r="J145" i="3"/>
  <c r="L144" i="3"/>
  <c r="J144" i="3"/>
  <c r="L143" i="3"/>
  <c r="J143" i="3"/>
  <c r="L142" i="3"/>
  <c r="J142" i="3"/>
  <c r="L141" i="3"/>
  <c r="J141" i="3"/>
  <c r="L140" i="3"/>
  <c r="J140" i="3"/>
  <c r="L139" i="3"/>
  <c r="J139" i="3"/>
  <c r="L138" i="3"/>
  <c r="J138" i="3"/>
  <c r="L137" i="3"/>
  <c r="J137" i="3"/>
  <c r="L136" i="3"/>
  <c r="J136" i="3"/>
  <c r="L135" i="3"/>
  <c r="J135" i="3"/>
  <c r="L134" i="3"/>
  <c r="J134" i="3"/>
  <c r="L133" i="3"/>
  <c r="J133" i="3"/>
  <c r="L132" i="3"/>
  <c r="J132" i="3"/>
  <c r="L131" i="3"/>
  <c r="J131" i="3"/>
  <c r="L130" i="3"/>
  <c r="J130" i="3"/>
  <c r="L129" i="3"/>
  <c r="J129" i="3"/>
  <c r="L128" i="3"/>
  <c r="J128" i="3"/>
  <c r="L127" i="3"/>
  <c r="J127" i="3"/>
  <c r="L126" i="3"/>
  <c r="J126" i="3"/>
  <c r="L125" i="3"/>
  <c r="J125" i="3"/>
  <c r="L124" i="3"/>
  <c r="J124" i="3"/>
  <c r="L123" i="3"/>
  <c r="J123" i="3"/>
  <c r="G123" i="3"/>
  <c r="L122" i="3"/>
  <c r="J122" i="3"/>
  <c r="G122" i="3"/>
  <c r="L121" i="3"/>
  <c r="J121" i="3"/>
  <c r="L120" i="3"/>
  <c r="J120" i="3"/>
  <c r="L119" i="3"/>
  <c r="J119" i="3"/>
  <c r="L118" i="3"/>
  <c r="J118" i="3"/>
  <c r="L117" i="3"/>
  <c r="J117" i="3"/>
  <c r="L116" i="3"/>
  <c r="J116" i="3"/>
  <c r="L115" i="3"/>
  <c r="J115" i="3"/>
  <c r="L114" i="3"/>
  <c r="J114" i="3"/>
  <c r="L113" i="3"/>
  <c r="J113" i="3"/>
  <c r="L112" i="3"/>
  <c r="J112" i="3"/>
  <c r="L111" i="3"/>
  <c r="J111" i="3"/>
  <c r="L110" i="3"/>
  <c r="J110" i="3"/>
  <c r="L109" i="3"/>
  <c r="J109" i="3"/>
  <c r="L108" i="3"/>
  <c r="J108" i="3"/>
  <c r="L107" i="3"/>
  <c r="J107" i="3"/>
  <c r="L106" i="3"/>
  <c r="J106" i="3"/>
  <c r="L105" i="3"/>
  <c r="J105" i="3"/>
  <c r="L104" i="3"/>
  <c r="J104" i="3"/>
  <c r="L103" i="3"/>
  <c r="J103" i="3"/>
  <c r="L102" i="3"/>
  <c r="J102" i="3"/>
  <c r="L101" i="3"/>
  <c r="J101" i="3"/>
  <c r="L100" i="3"/>
  <c r="J100" i="3"/>
  <c r="L99" i="3"/>
  <c r="J99" i="3"/>
  <c r="G99" i="3"/>
  <c r="H98" i="3"/>
  <c r="L97" i="3"/>
  <c r="J97" i="3"/>
  <c r="L96" i="3"/>
  <c r="J96" i="3"/>
  <c r="L95" i="3"/>
  <c r="J95" i="3"/>
  <c r="L94" i="3"/>
  <c r="J94" i="3"/>
  <c r="H93" i="3"/>
  <c r="H92" i="3"/>
  <c r="L91" i="3"/>
  <c r="J91" i="3"/>
  <c r="L90" i="3"/>
  <c r="J90" i="3"/>
  <c r="L89" i="3"/>
  <c r="J89" i="3"/>
  <c r="L88" i="3"/>
  <c r="J88" i="3"/>
  <c r="J87" i="3"/>
  <c r="G87" i="3"/>
  <c r="J86" i="3"/>
  <c r="G86" i="3"/>
  <c r="J85" i="3"/>
  <c r="G85" i="3"/>
  <c r="J84" i="3"/>
  <c r="G84" i="3"/>
  <c r="J83" i="3"/>
  <c r="G83" i="3"/>
  <c r="J82" i="3"/>
  <c r="G82" i="3"/>
  <c r="L81" i="3"/>
  <c r="J81" i="3"/>
  <c r="G81" i="3"/>
  <c r="L80" i="3"/>
  <c r="J80" i="3"/>
  <c r="G80" i="3"/>
  <c r="L79" i="3"/>
  <c r="J79" i="3"/>
  <c r="L78" i="3"/>
  <c r="J78" i="3"/>
  <c r="L77" i="3"/>
  <c r="J77" i="3"/>
  <c r="G77" i="3"/>
  <c r="L76" i="3"/>
  <c r="J76" i="3"/>
  <c r="G76" i="3"/>
  <c r="L75" i="3"/>
  <c r="J75" i="3"/>
  <c r="G75" i="3"/>
  <c r="L74" i="3"/>
  <c r="J74" i="3"/>
  <c r="G74" i="3"/>
  <c r="L73" i="3"/>
  <c r="J73" i="3"/>
  <c r="G73" i="3"/>
  <c r="L72" i="3"/>
  <c r="J72" i="3"/>
  <c r="G72" i="3"/>
  <c r="L71" i="3"/>
  <c r="J71" i="3"/>
  <c r="G71" i="3"/>
  <c r="L70" i="3"/>
  <c r="J70" i="3"/>
  <c r="G70" i="3"/>
  <c r="L69" i="3"/>
  <c r="J69" i="3"/>
  <c r="G69" i="3"/>
  <c r="L68" i="3"/>
  <c r="J68" i="3"/>
  <c r="G68" i="3"/>
  <c r="L67" i="3"/>
  <c r="J67" i="3"/>
  <c r="G67" i="3"/>
  <c r="L66" i="3"/>
  <c r="J66" i="3"/>
  <c r="G66" i="3"/>
  <c r="L65" i="3"/>
  <c r="J65" i="3"/>
  <c r="G65" i="3"/>
  <c r="L64" i="3"/>
  <c r="J64" i="3"/>
  <c r="G64" i="3"/>
  <c r="L63" i="3"/>
  <c r="J63" i="3"/>
  <c r="G63" i="3"/>
  <c r="L62" i="3"/>
  <c r="J62" i="3"/>
  <c r="G62" i="3"/>
  <c r="L61" i="3"/>
  <c r="J61" i="3"/>
  <c r="G61" i="3"/>
  <c r="L60" i="3"/>
  <c r="J60" i="3"/>
  <c r="G60" i="3"/>
  <c r="L59" i="3"/>
  <c r="J59" i="3"/>
  <c r="G59" i="3"/>
  <c r="L58" i="3"/>
  <c r="J58" i="3"/>
  <c r="G58" i="3"/>
  <c r="L57" i="3"/>
  <c r="J57" i="3"/>
  <c r="G57" i="3"/>
  <c r="L56" i="3"/>
  <c r="J56" i="3"/>
  <c r="G56" i="3"/>
  <c r="L55" i="3"/>
  <c r="J55" i="3"/>
  <c r="G55" i="3"/>
  <c r="L54" i="3"/>
  <c r="J54" i="3"/>
  <c r="G54" i="3"/>
  <c r="L53" i="3"/>
  <c r="J53" i="3"/>
  <c r="G53" i="3"/>
  <c r="L52" i="3"/>
  <c r="J52" i="3"/>
  <c r="G52" i="3"/>
  <c r="L51" i="3"/>
  <c r="J51" i="3"/>
  <c r="G51" i="3"/>
  <c r="L50" i="3"/>
  <c r="J50" i="3"/>
  <c r="G50" i="3"/>
  <c r="L49" i="3"/>
  <c r="J49" i="3"/>
  <c r="G49" i="3"/>
  <c r="L48" i="3"/>
  <c r="J48" i="3"/>
  <c r="G48" i="3"/>
  <c r="L47" i="3"/>
  <c r="J47" i="3"/>
  <c r="G47" i="3"/>
  <c r="L46" i="3"/>
  <c r="J46" i="3"/>
  <c r="G46" i="3"/>
  <c r="L45" i="3"/>
  <c r="J45" i="3"/>
  <c r="G45" i="3"/>
  <c r="L44" i="3"/>
  <c r="J44" i="3"/>
  <c r="G44" i="3"/>
  <c r="L43" i="3"/>
  <c r="J43" i="3"/>
  <c r="L42" i="3"/>
  <c r="J42" i="3"/>
  <c r="L41" i="3"/>
  <c r="J41" i="3"/>
  <c r="L40" i="3"/>
  <c r="J40" i="3"/>
  <c r="L39" i="3"/>
  <c r="J39" i="3"/>
  <c r="L38" i="3"/>
  <c r="J38" i="3"/>
  <c r="H37" i="3"/>
  <c r="L36" i="3"/>
  <c r="J36" i="3"/>
  <c r="L35" i="3"/>
  <c r="J35" i="3"/>
  <c r="L34" i="3"/>
  <c r="J34" i="3"/>
  <c r="L33" i="3"/>
  <c r="J33" i="3"/>
  <c r="H32" i="3"/>
  <c r="L31" i="3"/>
  <c r="J31" i="3"/>
  <c r="H30" i="3"/>
  <c r="H29" i="3"/>
  <c r="H28" i="3"/>
  <c r="H27" i="3"/>
  <c r="L26" i="3"/>
  <c r="J26" i="3"/>
  <c r="L25" i="3"/>
  <c r="J25" i="3"/>
  <c r="L24" i="3"/>
  <c r="J24" i="3"/>
  <c r="L23" i="3"/>
  <c r="J23" i="3"/>
  <c r="H22" i="3"/>
  <c r="L21" i="3"/>
  <c r="J21" i="3"/>
  <c r="L20" i="3"/>
  <c r="J20" i="3"/>
  <c r="L19" i="3"/>
  <c r="J19" i="3"/>
  <c r="L18" i="3"/>
  <c r="J18" i="3"/>
  <c r="L17" i="3"/>
  <c r="J17" i="3"/>
  <c r="L16" i="3"/>
  <c r="J16" i="3"/>
  <c r="L15" i="3"/>
  <c r="J15" i="3"/>
  <c r="L14" i="3"/>
  <c r="J14" i="3"/>
  <c r="H13" i="3"/>
  <c r="J12" i="3"/>
  <c r="L11" i="3"/>
  <c r="J11" i="3"/>
  <c r="G11" i="3"/>
  <c r="L10" i="3"/>
  <c r="J10" i="3"/>
  <c r="H9" i="3"/>
  <c r="L8" i="3"/>
  <c r="J8" i="3"/>
  <c r="G8" i="3"/>
  <c r="L7" i="3"/>
  <c r="J7" i="3"/>
  <c r="G7" i="3"/>
  <c r="L6" i="3"/>
  <c r="J6" i="3"/>
  <c r="G6" i="3"/>
  <c r="L5" i="3"/>
  <c r="J5" i="3"/>
  <c r="L4" i="3"/>
  <c r="J4" i="3"/>
  <c r="L3" i="3"/>
  <c r="J3" i="3"/>
  <c r="L2" i="3"/>
  <c r="J2" i="3"/>
  <c r="G159" i="3" l="1"/>
  <c r="G160" i="3"/>
  <c r="G158" i="3"/>
  <c r="G165" i="3"/>
  <c r="I190" i="4"/>
  <c r="I181" i="4"/>
  <c r="L299" i="3"/>
  <c r="J299" i="3"/>
  <c r="L210" i="3"/>
  <c r="L175" i="3"/>
  <c r="L246" i="3"/>
  <c r="J246" i="3"/>
  <c r="G5" i="3"/>
  <c r="G3" i="3"/>
  <c r="L228" i="3"/>
  <c r="J175" i="3"/>
  <c r="G4" i="3"/>
  <c r="G2" i="3"/>
  <c r="G161" i="3"/>
  <c r="I192" i="4"/>
  <c r="L298" i="3"/>
  <c r="J298" i="3"/>
  <c r="L297" i="3"/>
  <c r="J297" i="3"/>
  <c r="L296" i="3"/>
  <c r="J296" i="3"/>
  <c r="L295" i="3"/>
  <c r="J295" i="3"/>
  <c r="L294" i="3"/>
  <c r="J294" i="3"/>
  <c r="L293" i="3"/>
  <c r="J293" i="3"/>
  <c r="L292" i="3"/>
  <c r="J292" i="3"/>
  <c r="L291" i="3"/>
  <c r="J291" i="3"/>
  <c r="L290" i="3"/>
  <c r="J290" i="3"/>
  <c r="L289" i="3"/>
  <c r="J289" i="3"/>
  <c r="L288" i="3"/>
  <c r="J288" i="3"/>
  <c r="L287" i="3"/>
  <c r="J287" i="3"/>
  <c r="L286" i="3"/>
  <c r="J286" i="3"/>
  <c r="L285" i="3"/>
  <c r="J285" i="3"/>
  <c r="L284" i="3"/>
  <c r="J284" i="3"/>
  <c r="L283" i="3"/>
  <c r="J283" i="3"/>
  <c r="L282" i="3"/>
  <c r="J282" i="3"/>
  <c r="L281" i="3"/>
  <c r="L280" i="3"/>
  <c r="J280" i="3"/>
  <c r="L279" i="3"/>
  <c r="J279" i="3"/>
  <c r="L278" i="3"/>
  <c r="J278" i="3"/>
  <c r="L277" i="3"/>
  <c r="J277" i="3"/>
  <c r="L276" i="3"/>
  <c r="J276" i="3"/>
  <c r="L275" i="3"/>
  <c r="J275" i="3"/>
  <c r="L274" i="3"/>
  <c r="J274" i="3"/>
  <c r="L273" i="3"/>
  <c r="J273" i="3"/>
  <c r="L272" i="3"/>
  <c r="J272" i="3"/>
  <c r="L271" i="3"/>
  <c r="J271" i="3"/>
  <c r="L270" i="3"/>
  <c r="J270" i="3"/>
  <c r="L269" i="3"/>
  <c r="J269" i="3"/>
  <c r="L268" i="3"/>
  <c r="J268" i="3"/>
  <c r="L267" i="3"/>
  <c r="J267" i="3"/>
  <c r="L266" i="3"/>
  <c r="J266" i="3"/>
  <c r="L265" i="3"/>
  <c r="J265" i="3"/>
  <c r="L264" i="3"/>
  <c r="J264" i="3"/>
  <c r="J263" i="3"/>
  <c r="L262" i="3"/>
  <c r="J262" i="3"/>
  <c r="L261" i="3"/>
  <c r="J261" i="3"/>
  <c r="L260" i="3"/>
  <c r="J260" i="3"/>
  <c r="L259" i="3"/>
  <c r="J259" i="3"/>
  <c r="L258" i="3"/>
  <c r="J258" i="3"/>
  <c r="L257" i="3"/>
  <c r="J257" i="3"/>
  <c r="L256" i="3"/>
  <c r="J256" i="3"/>
  <c r="L255" i="3"/>
  <c r="J255" i="3"/>
  <c r="L254" i="3"/>
  <c r="J254" i="3"/>
  <c r="L253" i="3"/>
  <c r="J253" i="3"/>
  <c r="L252" i="3"/>
  <c r="J252" i="3"/>
  <c r="L251" i="3"/>
  <c r="J251" i="3"/>
  <c r="L250" i="3"/>
  <c r="J250" i="3"/>
  <c r="L249" i="3"/>
  <c r="J249" i="3"/>
  <c r="L248" i="3"/>
  <c r="J248" i="3"/>
  <c r="L247" i="3"/>
  <c r="J247" i="3"/>
  <c r="J245" i="3"/>
  <c r="L244" i="3"/>
  <c r="J244" i="3"/>
  <c r="L243" i="3"/>
  <c r="J243" i="3"/>
  <c r="L242" i="3"/>
  <c r="J242" i="3"/>
  <c r="L241" i="3"/>
  <c r="J241" i="3"/>
  <c r="L240" i="3"/>
  <c r="J240" i="3"/>
  <c r="L239" i="3"/>
  <c r="J239" i="3"/>
  <c r="L238" i="3"/>
  <c r="J238" i="3"/>
  <c r="L237" i="3"/>
  <c r="J237" i="3"/>
  <c r="L236" i="3"/>
  <c r="J236" i="3"/>
  <c r="L235" i="3"/>
  <c r="J235" i="3"/>
  <c r="L234" i="3"/>
  <c r="J234" i="3"/>
  <c r="L233" i="3"/>
  <c r="J233" i="3"/>
  <c r="L232" i="3"/>
  <c r="J232" i="3"/>
  <c r="L231" i="3"/>
  <c r="J231" i="3"/>
  <c r="L230" i="3"/>
  <c r="J230" i="3"/>
  <c r="L229" i="3"/>
  <c r="J229" i="3"/>
  <c r="J281" i="3"/>
  <c r="L263" i="3"/>
  <c r="L245" i="3"/>
  <c r="J228" i="3"/>
  <c r="L227" i="3"/>
  <c r="J227" i="3"/>
  <c r="L226" i="3"/>
  <c r="J226" i="3"/>
  <c r="L225" i="3"/>
  <c r="J225" i="3"/>
  <c r="L224" i="3"/>
  <c r="J224" i="3"/>
  <c r="L223" i="3"/>
  <c r="J223" i="3"/>
  <c r="L222" i="3"/>
  <c r="J222" i="3"/>
  <c r="L221" i="3"/>
  <c r="J221" i="3"/>
  <c r="L220" i="3"/>
  <c r="J220" i="3"/>
  <c r="L219" i="3"/>
  <c r="J219" i="3"/>
  <c r="L218" i="3"/>
  <c r="J218" i="3"/>
  <c r="L217" i="3"/>
  <c r="J217" i="3"/>
  <c r="L216" i="3"/>
  <c r="L215" i="3"/>
  <c r="J215" i="3"/>
  <c r="L214" i="3"/>
  <c r="J214" i="3"/>
  <c r="L213" i="3"/>
  <c r="J213" i="3"/>
  <c r="L212" i="3"/>
  <c r="J212" i="3"/>
  <c r="L211" i="3"/>
  <c r="J211" i="3"/>
  <c r="J193" i="3"/>
  <c r="J173" i="3"/>
  <c r="L172" i="3"/>
  <c r="L171" i="3"/>
  <c r="L170" i="3"/>
  <c r="J168" i="3"/>
  <c r="J93" i="3"/>
  <c r="J92" i="3"/>
  <c r="J210" i="3"/>
  <c r="L209" i="3"/>
  <c r="J209" i="3"/>
  <c r="L208" i="3"/>
  <c r="J208" i="3"/>
  <c r="L207" i="3"/>
  <c r="J207" i="3"/>
  <c r="L206" i="3"/>
  <c r="J206" i="3"/>
  <c r="L205" i="3"/>
  <c r="J205" i="3"/>
  <c r="L204" i="3"/>
  <c r="J204" i="3"/>
  <c r="L203" i="3"/>
  <c r="J203" i="3"/>
  <c r="L202" i="3"/>
  <c r="J202" i="3"/>
  <c r="L201" i="3"/>
  <c r="J201" i="3"/>
  <c r="L200" i="3"/>
  <c r="J200" i="3"/>
  <c r="L199" i="3"/>
  <c r="J199" i="3"/>
  <c r="L198" i="3"/>
  <c r="J198" i="3"/>
  <c r="L197" i="3"/>
  <c r="J197" i="3"/>
  <c r="L196" i="3"/>
  <c r="J196" i="3"/>
  <c r="L195" i="3"/>
  <c r="J195" i="3"/>
  <c r="L194" i="3"/>
  <c r="J194" i="3"/>
  <c r="L193" i="3"/>
  <c r="L173" i="3"/>
  <c r="J172" i="3"/>
  <c r="J171" i="3"/>
  <c r="J170" i="3"/>
  <c r="J169" i="3"/>
  <c r="L192" i="3"/>
  <c r="J192" i="3"/>
  <c r="L191" i="3"/>
  <c r="J191" i="3"/>
  <c r="L190" i="3"/>
  <c r="J190" i="3"/>
  <c r="L189" i="3"/>
  <c r="J189" i="3"/>
  <c r="L188" i="3"/>
  <c r="J188" i="3"/>
  <c r="L187" i="3"/>
  <c r="J187" i="3"/>
  <c r="L186" i="3"/>
  <c r="J186" i="3"/>
  <c r="H185" i="3"/>
  <c r="L184" i="3"/>
  <c r="J184" i="3"/>
  <c r="L183" i="3"/>
  <c r="L182" i="3"/>
  <c r="J182" i="3"/>
  <c r="L181" i="3"/>
  <c r="J181" i="3"/>
  <c r="L180" i="3"/>
  <c r="J180" i="3"/>
  <c r="L179" i="3"/>
  <c r="J179" i="3"/>
  <c r="L178" i="3"/>
  <c r="J178" i="3"/>
  <c r="L177" i="3"/>
  <c r="J177" i="3"/>
  <c r="L176" i="3"/>
  <c r="J176" i="3"/>
  <c r="J174" i="3"/>
  <c r="L169" i="3"/>
  <c r="L168" i="3"/>
  <c r="G167" i="3"/>
  <c r="G166" i="3"/>
  <c r="L92" i="3"/>
  <c r="L174" i="3"/>
  <c r="L93" i="3"/>
  <c r="L309" i="3"/>
  <c r="J309" i="3"/>
  <c r="L308" i="3"/>
  <c r="J308" i="3"/>
  <c r="L307" i="3"/>
  <c r="J307" i="3"/>
  <c r="L306" i="3"/>
  <c r="J306" i="3"/>
  <c r="L305" i="3"/>
  <c r="J305" i="3"/>
  <c r="L304" i="3"/>
  <c r="J304" i="3"/>
  <c r="L303" i="3"/>
  <c r="J303" i="3"/>
  <c r="L302" i="3"/>
  <c r="J302" i="3"/>
  <c r="L301" i="3"/>
  <c r="J301" i="3"/>
  <c r="L300" i="3"/>
  <c r="J300" i="3"/>
  <c r="J98" i="3"/>
  <c r="L98" i="3"/>
  <c r="L32" i="3"/>
  <c r="J37" i="3"/>
  <c r="J32" i="3"/>
  <c r="L30" i="3"/>
  <c r="J30" i="3"/>
  <c r="L29" i="3"/>
  <c r="J29" i="3"/>
  <c r="L28" i="3"/>
  <c r="J28" i="3"/>
  <c r="L27" i="3"/>
  <c r="J27" i="3"/>
  <c r="L37" i="3"/>
  <c r="L22" i="3"/>
  <c r="J22" i="3"/>
  <c r="L13" i="3"/>
  <c r="J13" i="3"/>
  <c r="L9" i="3"/>
  <c r="J9" i="3"/>
  <c r="J185" i="3" l="1"/>
  <c r="L185" i="3"/>
</calcChain>
</file>

<file path=xl/sharedStrings.xml><?xml version="1.0" encoding="utf-8"?>
<sst xmlns="http://schemas.openxmlformats.org/spreadsheetml/2006/main" count="2728" uniqueCount="565">
  <si>
    <t>Sheet</t>
  </si>
  <si>
    <t>Source_File</t>
  </si>
  <si>
    <t>Excel row(s)</t>
  </si>
  <si>
    <t>Receipt_ID</t>
  </si>
  <si>
    <t>Line number(s)</t>
  </si>
  <si>
    <t>Type wijziging</t>
  </si>
  <si>
    <t>Wat is gewijzigd</t>
  </si>
  <si>
    <t>Oude waarde</t>
  </si>
  <si>
    <t>Nieuwe waarde</t>
  </si>
  <si>
    <t>Waarom</t>
  </si>
  <si>
    <t>Receipts</t>
  </si>
  <si>
    <t>Picnic App 1.eml</t>
  </si>
  <si>
    <t>9</t>
  </si>
  <si>
    <t>R008</t>
  </si>
  <si>
    <t>-</t>
  </si>
  <si>
    <t>Gewijzigd</t>
  </si>
  <si>
    <t>Total_Amount</t>
  </si>
  <si>
    <t>102,39</t>
  </si>
  <si>
    <t>104,95</t>
  </si>
  <si>
    <t>Bedrag uit EML overgenomen als informatieve headerwaarde; niet gebruiken als Picnic-normcriterium.</t>
  </si>
  <si>
    <t>Picnic App 2.eml</t>
  </si>
  <si>
    <t>26</t>
  </si>
  <si>
    <t>R029</t>
  </si>
  <si>
    <t>Store_Name</t>
  </si>
  <si>
    <t xml:space="preserve">Picnic B.V. </t>
  </si>
  <si>
    <t>Picnic B.V.</t>
  </si>
  <si>
    <t>Spatie achter winkelnaam verwijderd voor robuustere matching.</t>
  </si>
  <si>
    <t>Purchase_Date</t>
  </si>
  <si>
    <t>2026-06-01</t>
  </si>
  <si>
    <t>2026-04-26</t>
  </si>
  <si>
    <t>Bezorgdatum uit Picnic-bon.</t>
  </si>
  <si>
    <t>106,47</t>
  </si>
  <si>
    <t>114,46</t>
  </si>
  <si>
    <t>Picnic App 3.eml</t>
  </si>
  <si>
    <t>27</t>
  </si>
  <si>
    <t>R030</t>
  </si>
  <si>
    <t>2026-05-08</t>
  </si>
  <si>
    <t>2026-05-10</t>
  </si>
  <si>
    <t>138,32</t>
  </si>
  <si>
    <t>138,93</t>
  </si>
  <si>
    <t>Picnic App 4.eml</t>
  </si>
  <si>
    <t>28</t>
  </si>
  <si>
    <t>R031</t>
  </si>
  <si>
    <t>2026-04-17</t>
  </si>
  <si>
    <t>2026-04-19</t>
  </si>
  <si>
    <t>152,37</t>
  </si>
  <si>
    <t>153,43</t>
  </si>
  <si>
    <t>Receipt_Lines</t>
  </si>
  <si>
    <t>183</t>
  </si>
  <si>
    <t>7</t>
  </si>
  <si>
    <t>Toegevoegd</t>
  </si>
  <si>
    <t>Productregel</t>
  </si>
  <si>
    <t>ontbrak</t>
  </si>
  <si>
    <t>Royal Club tonic 0% | qty 1 | unit_size 1 | unit_price 2,49</t>
  </si>
  <si>
    <t>Product staat in EML en werd ook door parser gelezen; baseline miste deze regel.</t>
  </si>
  <si>
    <t>216</t>
  </si>
  <si>
    <t>40</t>
  </si>
  <si>
    <t>Picnic witte chocolademousse | qty 1 | unit_size 75 | unit_price 3,20 | discount 0,70</t>
  </si>
  <si>
    <t>177:217</t>
  </si>
  <si>
    <t>1:41</t>
  </si>
  <si>
    <t>Line_Number</t>
  </si>
  <si>
    <t>niet sequentieel / versprongen</t>
  </si>
  <si>
    <t>1 t/m 41</t>
  </si>
  <si>
    <t>Nodig na toevoegen van twee ontbrekende productregels.</t>
  </si>
  <si>
    <t>na 183</t>
  </si>
  <si>
    <t>8:41</t>
  </si>
  <si>
    <t>Verschoven</t>
  </si>
  <si>
    <t>Bestaande regels zijn twee posities opgeschoven</t>
  </si>
  <si>
    <t>39 regels</t>
  </si>
  <si>
    <t>41 regels</t>
  </si>
  <si>
    <t>Gevolg van toevoegen Royal Club tonic 0% en Picnic witte chocolademousse.</t>
  </si>
  <si>
    <t>291</t>
  </si>
  <si>
    <t>Product_Name</t>
  </si>
  <si>
    <t>Bamboo Tree rijstnoedels 5 mm</t>
  </si>
  <si>
    <t>Bamboo Tree rijstnoedels 5mm</t>
  </si>
  <si>
    <t>Exacte schrijfwijze uit EML; dit is een normalisatieverschil, geen parserblokker.</t>
  </si>
  <si>
    <t>Picnic App 1/2/3/4.eml</t>
  </si>
  <si>
    <t>diverse</t>
  </si>
  <si>
    <t>Product_Name: t Slagershuys</t>
  </si>
  <si>
    <t>t Slagershuys...</t>
  </si>
  <si>
    <t>'t Slagershuys...</t>
  </si>
  <si>
    <t>Exacte productnaam in EML bevat leidende apostrof.</t>
  </si>
  <si>
    <t>Alle Picnic-bonnen</t>
  </si>
  <si>
    <t>geen losse cel</t>
  </si>
  <si>
    <t>Niet gewijzigd</t>
  </si>
  <si>
    <t>Line_Total en Netto prijs</t>
  </si>
  <si>
    <t>formules</t>
  </si>
  <si>
    <t>formules behouden</t>
  </si>
  <si>
    <t>In deze nieuwe versie zijn de bestaande formules en opmaak bewust behouden.</t>
  </si>
  <si>
    <t>Workbook</t>
  </si>
  <si>
    <t>Algemeen</t>
  </si>
  <si>
    <t>Sheet Wijzigingen_PO</t>
  </si>
  <si>
    <t>bestond niet</t>
  </si>
  <si>
    <t>toegevoegd</t>
  </si>
  <si>
    <t>Leesbare PO-samenvatting per regel/wijziging.</t>
  </si>
  <si>
    <t>Sheet Wijzigingen</t>
  </si>
  <si>
    <t>Technische detailmutaties per cel; vooral voor controleerbaarheid.</t>
  </si>
  <si>
    <t>Store_Address</t>
  </si>
  <si>
    <t>Store_City</t>
  </si>
  <si>
    <t>Document_Type</t>
  </si>
  <si>
    <t>Purchase_Time</t>
  </si>
  <si>
    <t>R001</t>
  </si>
  <si>
    <t>Action App 1.pdf</t>
  </si>
  <si>
    <t>Action</t>
  </si>
  <si>
    <t>Valburgseweg 16, 6661 EV Elst, Nederland</t>
  </si>
  <si>
    <t>Elst</t>
  </si>
  <si>
    <t>PDF</t>
  </si>
  <si>
    <t>2026-02-18</t>
  </si>
  <si>
    <t>13:48</t>
  </si>
  <si>
    <t>R002</t>
  </si>
  <si>
    <t>AH App 1.pdf</t>
  </si>
  <si>
    <t>Albert Heijn</t>
  </si>
  <si>
    <t>Polenplein 24 A</t>
  </si>
  <si>
    <t>6665CN DRIEL</t>
  </si>
  <si>
    <t>2026-03-20</t>
  </si>
  <si>
    <t>16:27</t>
  </si>
  <si>
    <t>R003</t>
  </si>
  <si>
    <t>AH foto 1.pdf</t>
  </si>
  <si>
    <t>Valburgseweg 20</t>
  </si>
  <si>
    <t>2026-03-14</t>
  </si>
  <si>
    <t>17:13</t>
  </si>
  <si>
    <t>R004</t>
  </si>
  <si>
    <t>Gamma App 1.pdf</t>
  </si>
  <si>
    <t>Gamma</t>
  </si>
  <si>
    <t>2024-08-24</t>
  </si>
  <si>
    <t>12:21</t>
  </si>
  <si>
    <t>R005</t>
  </si>
  <si>
    <t>Gamma App 2.pdf</t>
  </si>
  <si>
    <t>2024-12-12</t>
  </si>
  <si>
    <t>16:48</t>
  </si>
  <si>
    <t>R006</t>
  </si>
  <si>
    <t>Hornbach App 1.pdf</t>
  </si>
  <si>
    <t>Hornbach Bouwmarkt (Nederland) B.V.</t>
  </si>
  <si>
    <t>Grootslag 1-5, 3991 RA Houten</t>
  </si>
  <si>
    <t>Houten</t>
  </si>
  <si>
    <t>2024-01-13</t>
  </si>
  <si>
    <t>R007</t>
  </si>
  <si>
    <t>Lidl App 4.pdf</t>
  </si>
  <si>
    <t>Lidl Nederland GmbH</t>
  </si>
  <si>
    <t>Havenstraat 71, 1271 AD Huizen; Postbus 198, 1270 AD Huizen</t>
  </si>
  <si>
    <t>Huizen</t>
  </si>
  <si>
    <t>2024-01-09</t>
  </si>
  <si>
    <t>Van Marwijk Kooystraat 15, 1114 AG Amsterdam-Duivendrecht</t>
  </si>
  <si>
    <t>Amsterdam-Duivendrecht</t>
  </si>
  <si>
    <t>EML</t>
  </si>
  <si>
    <t>2026-03-22</t>
  </si>
  <si>
    <t>R009</t>
  </si>
  <si>
    <t>Bol App 1.eml</t>
  </si>
  <si>
    <t>bol</t>
  </si>
  <si>
    <t>R010</t>
  </si>
  <si>
    <t>mediamarkt foto 2.webp</t>
  </si>
  <si>
    <t>MediaMarkt Online Nederland</t>
  </si>
  <si>
    <t>Wilhelminakade 161, 3072 AP Rotterdam</t>
  </si>
  <si>
    <t>Rotterdam</t>
  </si>
  <si>
    <t>WEBP</t>
  </si>
  <si>
    <t>2021-12-10</t>
  </si>
  <si>
    <t>R011</t>
  </si>
  <si>
    <t>AH foto 2.jpeg</t>
  </si>
  <si>
    <t>Polenplein 24a</t>
  </si>
  <si>
    <t>JPEG</t>
  </si>
  <si>
    <t>2026-03-26</t>
  </si>
  <si>
    <t>15:18</t>
  </si>
  <si>
    <t>R012</t>
  </si>
  <si>
    <t>Aldi foto 1.jpg</t>
  </si>
  <si>
    <t>ALDI</t>
  </si>
  <si>
    <t>Prins Frederiklaan 203</t>
  </si>
  <si>
    <t>JPG</t>
  </si>
  <si>
    <t>2022-09-26</t>
  </si>
  <si>
    <t>08:20</t>
  </si>
  <si>
    <t>R013</t>
  </si>
  <si>
    <t>Aldi foto 2.jpg</t>
  </si>
  <si>
    <t>Venne 132</t>
  </si>
  <si>
    <t>Winschoten</t>
  </si>
  <si>
    <t>2019-02-23</t>
  </si>
  <si>
    <t>19:21</t>
  </si>
  <si>
    <t>R014</t>
  </si>
  <si>
    <t>plus foto 1.jpg</t>
  </si>
  <si>
    <t>PLUS</t>
  </si>
  <si>
    <t>Oosterhamriklaan 263</t>
  </si>
  <si>
    <t>Groningen</t>
  </si>
  <si>
    <t>2019-01-04</t>
  </si>
  <si>
    <t>19:40</t>
  </si>
  <si>
    <t>R015</t>
  </si>
  <si>
    <t>Jumbo foto 1.jpeg</t>
  </si>
  <si>
    <t>Jumbo Supermarkten</t>
  </si>
  <si>
    <t>Basilica 19, 6661 TT Elst</t>
  </si>
  <si>
    <t>2024-05-21</t>
  </si>
  <si>
    <t>14:58</t>
  </si>
  <si>
    <t>R016</t>
  </si>
  <si>
    <t>Jumbo app 1.png</t>
  </si>
  <si>
    <t>Jumbo Heteren Teun van Blijderveen</t>
  </si>
  <si>
    <t>Beemdhof 38, 6666 DL Heteren</t>
  </si>
  <si>
    <t>Heteren</t>
  </si>
  <si>
    <t>PNG</t>
  </si>
  <si>
    <t>2026-03-24</t>
  </si>
  <si>
    <t>12:36</t>
  </si>
  <si>
    <t>R017</t>
  </si>
  <si>
    <t>Jumbo foto 3.jpg</t>
  </si>
  <si>
    <t>Jumbo Oude Pekela</t>
  </si>
  <si>
    <t>De Helling 16</t>
  </si>
  <si>
    <t>Oude Pekela</t>
  </si>
  <si>
    <t>2020-05-08</t>
  </si>
  <si>
    <t>10:20</t>
  </si>
  <si>
    <t>R018</t>
  </si>
  <si>
    <t>Lidl App 1.png</t>
  </si>
  <si>
    <t>Lidl Arnhem</t>
  </si>
  <si>
    <t>Elderveldplein 5, 6843 JA Arnhem</t>
  </si>
  <si>
    <t>Arnhem</t>
  </si>
  <si>
    <t>2025-12-16</t>
  </si>
  <si>
    <t>13:37</t>
  </si>
  <si>
    <t>R019</t>
  </si>
  <si>
    <t>Lidl App 2.png</t>
  </si>
  <si>
    <t>Fortunastraat 44, 6846 XZ Arnhem</t>
  </si>
  <si>
    <t>2025-11-25</t>
  </si>
  <si>
    <t>12:37</t>
  </si>
  <si>
    <t>R021</t>
  </si>
  <si>
    <t>coolblue App 1.webp</t>
  </si>
  <si>
    <t>Coolblue B.V.</t>
  </si>
  <si>
    <t>Weena, 3012 CN Rotterdam</t>
  </si>
  <si>
    <t>2025-01-10</t>
  </si>
  <si>
    <t>R022</t>
  </si>
  <si>
    <t>coolblue App 2.webp</t>
  </si>
  <si>
    <t>2025-08-10</t>
  </si>
  <si>
    <t>R025</t>
  </si>
  <si>
    <t>karwei App 1.webp</t>
  </si>
  <si>
    <t>KARWEI Bussum</t>
  </si>
  <si>
    <t>De Nieuwe Vaart 4 18, 1401 GP Bussum</t>
  </si>
  <si>
    <t>Bussum</t>
  </si>
  <si>
    <t>2024-02-26</t>
  </si>
  <si>
    <t>08:44</t>
  </si>
  <si>
    <t>R027</t>
  </si>
  <si>
    <t>AH foto 3.jpg</t>
  </si>
  <si>
    <t>Station Groningen</t>
  </si>
  <si>
    <t>2019-05-11</t>
  </si>
  <si>
    <t>R028</t>
  </si>
  <si>
    <t>plus foto 2.jpeg</t>
  </si>
  <si>
    <t>Donsvlinder 2</t>
  </si>
  <si>
    <t>Bilthoven</t>
  </si>
  <si>
    <t>Quantity</t>
  </si>
  <si>
    <t>Unit_Size</t>
  </si>
  <si>
    <t>Unit_Price</t>
  </si>
  <si>
    <t>Line_Total</t>
  </si>
  <si>
    <t>Article_Code</t>
  </si>
  <si>
    <t>Barcode</t>
  </si>
  <si>
    <t>Discount_Info</t>
  </si>
  <si>
    <t>Netto prijs</t>
  </si>
  <si>
    <t>dumil bio afvalzakjes</t>
  </si>
  <si>
    <t>10 st 5 l</t>
  </si>
  <si>
    <t>fackelmann koekenpan keramisch</t>
  </si>
  <si>
    <t>24 cm</t>
  </si>
  <si>
    <t>auto ehbo tas</t>
  </si>
  <si>
    <t>pure soft keukenpapier</t>
  </si>
  <si>
    <t>4 rol</t>
  </si>
  <si>
    <t>Poedersuiker</t>
  </si>
  <si>
    <t>Care inlegkr</t>
  </si>
  <si>
    <t>AH poffertje</t>
  </si>
  <si>
    <t>Koopzegels Premium</t>
  </si>
  <si>
    <t>Prei</t>
  </si>
  <si>
    <t>Komkommer</t>
  </si>
  <si>
    <t>Druiven</t>
  </si>
  <si>
    <t>Kiwi Gold</t>
  </si>
  <si>
    <t>kg</t>
  </si>
  <si>
    <t>Winterpeen</t>
  </si>
  <si>
    <t>AH grf rookv</t>
  </si>
  <si>
    <t>Volk bollen</t>
  </si>
  <si>
    <t>Waldk half</t>
  </si>
  <si>
    <t>Remia saus</t>
  </si>
  <si>
    <t>Zaans h mayo</t>
  </si>
  <si>
    <t>AH muffins</t>
  </si>
  <si>
    <t>AH bouillon</t>
  </si>
  <si>
    <t>Katja snoep</t>
  </si>
  <si>
    <t>AH hv melk</t>
  </si>
  <si>
    <t>AH tortilla</t>
  </si>
  <si>
    <t>Chio chips</t>
  </si>
  <si>
    <t>AH chips</t>
  </si>
  <si>
    <t>AH malbec</t>
  </si>
  <si>
    <t>Tuinerwten</t>
  </si>
  <si>
    <t>Venco Schoolkrijt</t>
  </si>
  <si>
    <t>225 gr</t>
  </si>
  <si>
    <t>237198</t>
  </si>
  <si>
    <t>Meubelpaneel Zwart</t>
  </si>
  <si>
    <t>80x30 cm</t>
  </si>
  <si>
    <t>245093</t>
  </si>
  <si>
    <t>Strijkband Zwart Eiken</t>
  </si>
  <si>
    <t>245724</t>
  </si>
  <si>
    <t>SCHN. Mureva OPB. Combinatie</t>
  </si>
  <si>
    <t>131876</t>
  </si>
  <si>
    <t>Akoestisch paneel nat. oak</t>
  </si>
  <si>
    <t>280x28x1,8cm</t>
  </si>
  <si>
    <t>10692297</t>
  </si>
  <si>
    <t>Vrachtkosten</t>
  </si>
  <si>
    <t>TRONIC Powerbank</t>
  </si>
  <si>
    <t>100364233002</t>
  </si>
  <si>
    <t>TRONIC Auto-smartphonehouder</t>
  </si>
  <si>
    <t>100348089</t>
  </si>
  <si>
    <t>SILVERCREST Bluetooth oordopjes</t>
  </si>
  <si>
    <t>100348301002</t>
  </si>
  <si>
    <t>PARKSIDE Kruislijnlaser</t>
  </si>
  <si>
    <t>100349498</t>
  </si>
  <si>
    <t>Verzendkosten</t>
  </si>
  <si>
    <t>'t Slagershuys rundergehakt</t>
  </si>
  <si>
    <t>300 g</t>
  </si>
  <si>
    <t>'t Slagershuys kiphaasjes</t>
  </si>
  <si>
    <t>1 st</t>
  </si>
  <si>
    <t>Bosui</t>
  </si>
  <si>
    <t>bosje</t>
  </si>
  <si>
    <t>Picnic taugé</t>
  </si>
  <si>
    <t>250 g</t>
  </si>
  <si>
    <t>La Morena tortilla wraps naturel</t>
  </si>
  <si>
    <t>8 st</t>
  </si>
  <si>
    <t>Picnic magere kwark</t>
  </si>
  <si>
    <t>500 g</t>
  </si>
  <si>
    <t>Picnic halfvolle melk</t>
  </si>
  <si>
    <t>2 L</t>
  </si>
  <si>
    <t>Bifi worstjes original</t>
  </si>
  <si>
    <t>7 st</t>
  </si>
  <si>
    <t>Boerenbrood meergranen</t>
  </si>
  <si>
    <t>800 g</t>
  </si>
  <si>
    <t>Coca-Cola zero</t>
  </si>
  <si>
    <t>4 x 1.5 L</t>
  </si>
  <si>
    <t>Royal Club tonic 0%</t>
  </si>
  <si>
    <t>1 L</t>
  </si>
  <si>
    <t>Royal Club ginger ale 0%</t>
  </si>
  <si>
    <t>Picnic vers sap sinaasappel</t>
  </si>
  <si>
    <t>1000 ml</t>
  </si>
  <si>
    <t>Santa Maria taco shells</t>
  </si>
  <si>
    <t>12 st</t>
  </si>
  <si>
    <t>Santa Maria taco seasoning mix</t>
  </si>
  <si>
    <t>28 g</t>
  </si>
  <si>
    <t>Mexicaanse roerbakgroenten</t>
  </si>
  <si>
    <t>400 g</t>
  </si>
  <si>
    <t>Picnic crème fraîche</t>
  </si>
  <si>
    <t>200 g</t>
  </si>
  <si>
    <t>Picnic geraspte belegen kaas 48+</t>
  </si>
  <si>
    <t>175 g</t>
  </si>
  <si>
    <t>Picnic bio tomatenblokjes</t>
  </si>
  <si>
    <t>'t Slagershuys gemengd gehakt</t>
  </si>
  <si>
    <t>Picnic ijsbergsla</t>
  </si>
  <si>
    <t>Picnic boerenkool fijngesneden</t>
  </si>
  <si>
    <t>Knorr jachtsaus mix</t>
  </si>
  <si>
    <t>27 g</t>
  </si>
  <si>
    <t>'t Slagershuys rookworst fijn</t>
  </si>
  <si>
    <t>8 x 250 ml</t>
  </si>
  <si>
    <t>Picnic toiletpapier 3 laags</t>
  </si>
  <si>
    <t>9 st</t>
  </si>
  <si>
    <t>De Ruijter hagelslag melk</t>
  </si>
  <si>
    <t>390 g</t>
  </si>
  <si>
    <t>Melkunie Breaker perzik met zonnebloempitten</t>
  </si>
  <si>
    <t>Zuivelhoeve boerenyoghurt bosvruchten</t>
  </si>
  <si>
    <t>750 g</t>
  </si>
  <si>
    <t>Picnic suikerwafels naturel</t>
  </si>
  <si>
    <t>10 st</t>
  </si>
  <si>
    <t>Stamppot aardappelen</t>
  </si>
  <si>
    <t>1 kg</t>
  </si>
  <si>
    <t>Picnic halfvolle melk houdbaar</t>
  </si>
  <si>
    <t>BLACK+DECKER BEBL185-QS Bladblazer</t>
  </si>
  <si>
    <t>APPLE MacBook Pro 13.3 (2020)</t>
  </si>
  <si>
    <t>FVFG81DAQ05G</t>
  </si>
  <si>
    <t>AH M gehakt</t>
  </si>
  <si>
    <t>Soepgr basis</t>
  </si>
  <si>
    <t>Goudse kaas gesneden jong</t>
  </si>
  <si>
    <t>480 g</t>
  </si>
  <si>
    <t>Waddenbollen</t>
  </si>
  <si>
    <t>Chocopops / choco shells</t>
  </si>
  <si>
    <t>7-granen ontbijt</t>
  </si>
  <si>
    <t>Melkchocolade</t>
  </si>
  <si>
    <t>Aardappelschijfje spek-ui</t>
  </si>
  <si>
    <t>Bami Nasi Mix VD</t>
  </si>
  <si>
    <t>Romige kwark kaneel</t>
  </si>
  <si>
    <t>Romige kwark wit cho</t>
  </si>
  <si>
    <t>Strawberry schnitte</t>
  </si>
  <si>
    <t>Wereldgerecht teriyake</t>
  </si>
  <si>
    <t>Wereldgerecht Z-Afr. Bobo</t>
  </si>
  <si>
    <t>Bonenmix mais</t>
  </si>
  <si>
    <t>Kikkererwten Bio</t>
  </si>
  <si>
    <t>Kikkererwten</t>
  </si>
  <si>
    <t>Cashewnoten ongezout</t>
  </si>
  <si>
    <t>PLUSpunten</t>
  </si>
  <si>
    <t>Kipblokje Dijfil 350</t>
  </si>
  <si>
    <t>Kastanje champignons vd</t>
  </si>
  <si>
    <t>Bio rode biet vacum</t>
  </si>
  <si>
    <t>Courgette</t>
  </si>
  <si>
    <t>Jumbo risotto arbori</t>
  </si>
  <si>
    <t>VP Aspergesoep</t>
  </si>
  <si>
    <t>Remia mosterdsaus</t>
  </si>
  <si>
    <t>Jumbo App 1.png</t>
  </si>
  <si>
    <t>Jumbo Passata Rust.</t>
  </si>
  <si>
    <t>Kipdij reepje</t>
  </si>
  <si>
    <t>Conimex kroepoek Bali</t>
  </si>
  <si>
    <t>Jumbo kroepoek cassave</t>
  </si>
  <si>
    <t>Chorizo ring</t>
  </si>
  <si>
    <t>Knorr jachtsaus</t>
  </si>
  <si>
    <t>Halfvolle melk 1.0L</t>
  </si>
  <si>
    <t>1.0L</t>
  </si>
  <si>
    <t>Jumbo paprikamix</t>
  </si>
  <si>
    <t>Hartig Itali. kruide</t>
  </si>
  <si>
    <t>Jumbo rooibos mango</t>
  </si>
  <si>
    <t>Lemondor limoensap</t>
  </si>
  <si>
    <t>Lassie paella rijst</t>
  </si>
  <si>
    <t>Broccoli</t>
  </si>
  <si>
    <t>Espresso D Oro</t>
  </si>
  <si>
    <t>Koopzegel digitaal</t>
  </si>
  <si>
    <t>Jumbo foto 3.jpeg</t>
  </si>
  <si>
    <t>Jumbo stroopwafels</t>
  </si>
  <si>
    <t>Jonge bladsla</t>
  </si>
  <si>
    <t>Veldsla</t>
  </si>
  <si>
    <t>Spekreepjes</t>
  </si>
  <si>
    <t>Gebronsde pasta linguin</t>
  </si>
  <si>
    <t>Mozzarella geraspt</t>
  </si>
  <si>
    <t>Runderchipolata</t>
  </si>
  <si>
    <t>Rundersaucijzen</t>
  </si>
  <si>
    <t>Geraspte kaas</t>
  </si>
  <si>
    <t>Kipdijfilet blokjes</t>
  </si>
  <si>
    <t>Maaltijdsauzen SK7</t>
  </si>
  <si>
    <t>Tomatenpuree gecon.</t>
  </si>
  <si>
    <t>Italiaanse rasp kaas</t>
  </si>
  <si>
    <t>Lasagnebladen</t>
  </si>
  <si>
    <t>Tomatens. met basil.</t>
  </si>
  <si>
    <t>Peterselie bos</t>
  </si>
  <si>
    <t>Courgette groen</t>
  </si>
  <si>
    <t>Aardappel zoet</t>
  </si>
  <si>
    <t>1,224 kg</t>
  </si>
  <si>
    <t>Tortilla chips XXL</t>
  </si>
  <si>
    <t>Knorr CaS Ch. tomaat</t>
  </si>
  <si>
    <t>Knorr CaS kip</t>
  </si>
  <si>
    <t>Mexicaanse kruiden</t>
  </si>
  <si>
    <t>Verse halfvolle melk</t>
  </si>
  <si>
    <t>Gouda belegen gerasp</t>
  </si>
  <si>
    <t>Slagersleverworst</t>
  </si>
  <si>
    <t>Kidneybonen</t>
  </si>
  <si>
    <t>Snacktomaten</t>
  </si>
  <si>
    <t>Duurzame basmati rijst</t>
  </si>
  <si>
    <t>Créme fraiche 30%</t>
  </si>
  <si>
    <t>Tomatenblokjes</t>
  </si>
  <si>
    <t>Mexicaanse kruidenmix</t>
  </si>
  <si>
    <t>Taco saus</t>
  </si>
  <si>
    <t>AOC C27G1</t>
  </si>
  <si>
    <t>Osmo Action 5 Pro Adventure Combo</t>
  </si>
  <si>
    <t>Schuurpapier KARWEI oude verf K180</t>
  </si>
  <si>
    <t>559099</t>
  </si>
  <si>
    <t>Schuurpapier KARWEI tussenlagen K150</t>
  </si>
  <si>
    <t>559694</t>
  </si>
  <si>
    <t>Schuurpapier KARWEI nagronden K240</t>
  </si>
  <si>
    <t>859701</t>
  </si>
  <si>
    <t>WD-40 mult-use smart straw 400ml</t>
  </si>
  <si>
    <t>400 ml</t>
  </si>
  <si>
    <t>222272</t>
  </si>
  <si>
    <t>Nemef cilinder nikkel 30/30 GLS</t>
  </si>
  <si>
    <t>202262</t>
  </si>
  <si>
    <t>Sticker verwijderaar KARWEI 250ml</t>
  </si>
  <si>
    <t>250 ml</t>
  </si>
  <si>
    <t>508061</t>
  </si>
  <si>
    <t>AH foto 3.jpeg</t>
  </si>
  <si>
    <t>Chaudf water</t>
  </si>
  <si>
    <t>AH Sandwich</t>
  </si>
  <si>
    <t>Bio dadeltjes</t>
  </si>
  <si>
    <t>DKK rijstwafel</t>
  </si>
  <si>
    <t>Lama Puffs Pizza</t>
  </si>
  <si>
    <t>Melty veggie sticks</t>
  </si>
  <si>
    <t>4+ Carrots, Apples +</t>
  </si>
  <si>
    <t>Apple peach mango</t>
  </si>
  <si>
    <t>Apple Quinoa</t>
  </si>
  <si>
    <t>Groente ringen +12M</t>
  </si>
  <si>
    <t>Pluspunten</t>
  </si>
  <si>
    <t>4x1,5</t>
  </si>
  <si>
    <t>Bananen</t>
  </si>
  <si>
    <t>Granny Smith appels</t>
  </si>
  <si>
    <t>'t Slagershuys rundersalami</t>
  </si>
  <si>
    <t>Lu Scholiertje Chocolade Koekjes Melk</t>
  </si>
  <si>
    <t>Nipius roomboter hazelnootzandjes</t>
  </si>
  <si>
    <t>Mora oven frikandellen</t>
  </si>
  <si>
    <t>Campina karnemelk</t>
  </si>
  <si>
    <t>Picnic spaghetti no. 205</t>
  </si>
  <si>
    <t>Gele uien</t>
  </si>
  <si>
    <t>Picnic verse tempeh</t>
  </si>
  <si>
    <t>Bonduelle Franse sperzieboontjes zeer fijn</t>
  </si>
  <si>
    <t>Faja Lobi bami trafasie</t>
  </si>
  <si>
    <t>Picnic tomatenpuree</t>
  </si>
  <si>
    <t>Santa Maria tortillawraps medium</t>
  </si>
  <si>
    <t>'t Slagershuys kipgehakt gekruid</t>
  </si>
  <si>
    <t>Picnic burrito kruidenmix</t>
  </si>
  <si>
    <t>Picnic zure room</t>
  </si>
  <si>
    <t>Picnic ijsbergsla fijn</t>
  </si>
  <si>
    <t>Picnic tex mex geraspte kaas</t>
  </si>
  <si>
    <t>Picnic fusilli tricolore no. 242</t>
  </si>
  <si>
    <t>Picnic broccoliroosjes</t>
  </si>
  <si>
    <t>Picnic spinazie gewassen</t>
  </si>
  <si>
    <t>Grand'Italia besciamella</t>
  </si>
  <si>
    <t>De Kaaskamer komijn kaasblokjes</t>
  </si>
  <si>
    <t>Weidenaar Drentse droge worstplakjes</t>
  </si>
  <si>
    <t>2 x 80</t>
  </si>
  <si>
    <t>Picnic Carrot cake taartje</t>
  </si>
  <si>
    <t>Zuivelhoeve boerenyoghurt muesli bosvruchten</t>
  </si>
  <si>
    <t>Picnic chocolademousse</t>
  </si>
  <si>
    <t>Picnic witte chocolademousse</t>
  </si>
  <si>
    <t>Picnic koffiemousse</t>
  </si>
  <si>
    <t>Mini broodjesmix</t>
  </si>
  <si>
    <t>Kellogg's cornflakes</t>
  </si>
  <si>
    <t>Royal Cluc tonic</t>
  </si>
  <si>
    <t>Cheetos cheeto nibbit sticks</t>
  </si>
  <si>
    <t>Zeeuws spek</t>
  </si>
  <si>
    <t>Lu Scholiertje Chocolade Koekjes Puur</t>
  </si>
  <si>
    <t>Superieur prosciutto crudo</t>
  </si>
  <si>
    <t>La Molisana Fusilli no 28</t>
  </si>
  <si>
    <t>Chef besciamella</t>
  </si>
  <si>
    <t>Boursin zacht &amp; romig</t>
  </si>
  <si>
    <t xml:space="preserve">Courgette </t>
  </si>
  <si>
    <t>Picnic bio rucola</t>
  </si>
  <si>
    <t>Grand'italia spaghetti tradizionali</t>
  </si>
  <si>
    <t>'t Slagershuys kipfiletblokjes</t>
  </si>
  <si>
    <t>La Morena tortillawraps naturel</t>
  </si>
  <si>
    <t>Wijko satésaus kant &amp; klaar</t>
  </si>
  <si>
    <t>Bio limoenen pitloos</t>
  </si>
  <si>
    <t>Picnic koolmix met peen</t>
  </si>
  <si>
    <t>Knoflook</t>
  </si>
  <si>
    <t>'t Slagershuys boerenmetworst</t>
  </si>
  <si>
    <t>'t Slagershuys kipgrillworst</t>
  </si>
  <si>
    <t>M&amp;M pinda</t>
  </si>
  <si>
    <t>M&amp;M crispy</t>
  </si>
  <si>
    <t>Campina halfvolle melk</t>
  </si>
  <si>
    <t>Becel met roomboter</t>
  </si>
  <si>
    <t>Becel bak &amp; braad vloeibaar olijf</t>
  </si>
  <si>
    <t>10/10 afwasborstel</t>
  </si>
  <si>
    <t>Wasa sandwich tomaat basilicum</t>
  </si>
  <si>
    <t>8x250</t>
  </si>
  <si>
    <t>2x400</t>
  </si>
  <si>
    <t>Picnic tomatenblokjes</t>
  </si>
  <si>
    <t>Avocado eetrijp</t>
  </si>
  <si>
    <t>Amoy udon noedels voorgekookt</t>
  </si>
  <si>
    <t>2x2</t>
  </si>
  <si>
    <t>'t Slagershuys mini gehaktballetjes</t>
  </si>
  <si>
    <t>Conimex woksaus teriyaki honing</t>
  </si>
  <si>
    <t>Japanse wokmix</t>
  </si>
  <si>
    <t>Koriander</t>
  </si>
  <si>
    <t>Picnic wortel julienne</t>
  </si>
  <si>
    <t>Hanabi Gyoza met kip</t>
  </si>
  <si>
    <t>Bonduelle edamame boontjes</t>
  </si>
  <si>
    <t>Go-Tan Gehakte gember</t>
  </si>
  <si>
    <t>Daily sesamolie</t>
  </si>
  <si>
    <t>Saitaku rijstazijn</t>
  </si>
  <si>
    <t>Picnic verspakket pasta pesto</t>
  </si>
  <si>
    <t>'t Slagershuys kipfiletplakjes gerookt</t>
  </si>
  <si>
    <t>Picnic geraspte milde kaas</t>
  </si>
  <si>
    <t>Grand'italia penne tradizionali</t>
  </si>
  <si>
    <t>Kaiserbroodjes</t>
  </si>
  <si>
    <t>Kipfilet met kruidenroomkaas</t>
  </si>
  <si>
    <t>Excel_Row</t>
  </si>
  <si>
    <t>Field</t>
  </si>
  <si>
    <t>Old_Value</t>
  </si>
  <si>
    <t>New_Value</t>
  </si>
  <si>
    <t>Reason</t>
  </si>
  <si>
    <t>Headerwaarde uit Picnic-EML; totaalbedrag is informatief, geen PO-normcriterium voor Picnic.</t>
  </si>
  <si>
    <t>App 2 opnieuw geordend: twee productregels toegevoegd en line_numbers sequentieel gemaakt.</t>
  </si>
  <si>
    <t>t Slagershuys rundersalami</t>
  </si>
  <si>
    <t>t Slagershuys kipgehakt gekruid</t>
  </si>
  <si>
    <t>Product staat in EML, ontbrak in baseline.</t>
  </si>
  <si>
    <t>Exacte productnaam uit EML.</t>
  </si>
  <si>
    <t>Exacte productnaam uit EML bevat leidende apostrof.</t>
  </si>
  <si>
    <t>t Slagershuys kipfiletblokjes</t>
  </si>
  <si>
    <t>t Slagershuys boerenmetworst</t>
  </si>
  <si>
    <t>t Slagershuys kipgrillworst</t>
  </si>
  <si>
    <t>t Slagershuys rundergehakt</t>
  </si>
  <si>
    <t>t Slagershuys mini gehaktballetjes</t>
  </si>
  <si>
    <t>t Slagershuys kipfiletplakjes gerookt</t>
  </si>
  <si>
    <t>Picnic App 3.eml.eml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</si>
</sst>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\€\ #,##0.00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1F4E3D"/>
      </patternFill>
    </fill>
  </fills>
  <borders count="5">
    <border>
      <left/>
      <right/>
      <top/>
      <bottom/>
      <diagonal/>
    </border>
    <border>
      <left/>
      <right/>
      <top/>
      <bottom style="thin">
        <color rgb="FF93C47D"/>
      </bottom>
      <diagonal/>
    </border>
    <border>
      <left/>
      <right/>
      <top style="thin">
        <color theme="4" tint="0.39997558519241921"/>
      </top>
      <bottom style="thin">
        <color rgb="FF93C47D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2">
    <xf numFmtId="0" fontId="0" fillId="0" borderId="0"/>
    <xf numFmtId="44" fontId="2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44" fontId="0" fillId="0" borderId="0" xfId="1" applyFont="1"/>
    <xf numFmtId="0" fontId="0" fillId="0" borderId="1" xfId="0" quotePrefix="1" applyBorder="1"/>
    <xf numFmtId="20" fontId="0" fillId="0" borderId="1" xfId="0" applyNumberForma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0" fontId="0" fillId="3" borderId="0" xfId="0" applyFill="1"/>
    <xf numFmtId="0" fontId="0" fillId="0" borderId="2" xfId="0" applyBorder="1"/>
    <xf numFmtId="14" fontId="0" fillId="0" borderId="1" xfId="0" applyNumberFormat="1" applyBorder="1"/>
    <xf numFmtId="20" fontId="0" fillId="0" borderId="0" xfId="0" applyNumberFormat="1"/>
    <xf numFmtId="0" fontId="0" fillId="0" borderId="0" xfId="0" quotePrefix="1"/>
    <xf numFmtId="44" fontId="1" fillId="2" borderId="0" xfId="1" applyFont="1" applyFill="1" applyAlignment="1">
      <alignment horizontal="center" vertical="center"/>
    </xf>
    <xf numFmtId="164" fontId="0" fillId="0" borderId="0" xfId="0" applyNumberFormat="1"/>
    <xf numFmtId="0" fontId="0" fillId="0" borderId="3" xfId="0" applyBorder="1"/>
    <xf numFmtId="14" fontId="0" fillId="0" borderId="0" xfId="0" applyNumberFormat="1"/>
    <xf numFmtId="0" fontId="2" fillId="0" borderId="0" xfId="0" applyFont="1"/>
    <xf numFmtId="0" fontId="2" fillId="3" borderId="0" xfId="0" applyFont="1" applyFill="1"/>
    <xf numFmtId="44" fontId="2" fillId="0" borderId="0" xfId="1"/>
    <xf numFmtId="0" fontId="4" fillId="4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165" fontId="0" fillId="0" borderId="4" xfId="0" applyNumberFormat="1" applyBorder="1" applyAlignment="1">
      <alignment vertical="top" wrapText="1"/>
    </xf>
  </cellXfs>
  <cellStyles count="2">
    <cellStyle name="Standaard" xfId="0" builtinId="0"/>
    <cellStyle name="Valuta" xfId="1" builtinId="4"/>
  </cellStyles>
  <dxfs count="2">
    <dxf>
      <numFmt numFmtId="0" formatCode="General"/>
    </dxf>
    <dxf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ceipts" displayName="tbl_Receipts" ref="A1:I28">
  <autoFilter ref="A1:I28" xr:uid="{00000000-0009-0000-0100-000001000000}"/>
  <tableColumns count="9">
    <tableColumn id="1" xr3:uid="{00000000-0010-0000-0000-000001000000}" name="Receipt_ID"/>
    <tableColumn id="2" xr3:uid="{00000000-0010-0000-0000-000002000000}" name="Source_File" dataDxfId="1"/>
    <tableColumn id="3" xr3:uid="{00000000-0010-0000-0000-000003000000}" name="Store_Name"/>
    <tableColumn id="4" xr3:uid="{00000000-0010-0000-0000-000004000000}" name="Store_Address"/>
    <tableColumn id="5" xr3:uid="{00000000-0010-0000-0000-000005000000}" name="Store_City"/>
    <tableColumn id="6" xr3:uid="{00000000-0010-0000-0000-000006000000}" name="Document_Type"/>
    <tableColumn id="7" xr3:uid="{00000000-0010-0000-0000-000007000000}" name="Purchase_Date"/>
    <tableColumn id="8" xr3:uid="{00000000-0010-0000-0000-000008000000}" name="Purchase_Time"/>
    <tableColumn id="10" xr3:uid="{00000000-0010-0000-0000-00000A000000}" name="Total_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ceiptLines" displayName="tbl_ReceiptLines" ref="A1:L309">
  <autoFilter ref="A1:L309" xr:uid="{00000000-0009-0000-0100-000002000000}">
    <filterColumn colId="1">
      <filters>
        <filter val="Picnic App 2.eml"/>
      </filters>
    </filterColumn>
  </autoFilter>
  <tableColumns count="12">
    <tableColumn id="1" xr3:uid="{00000000-0010-0000-0100-000001000000}" name="Receipt_ID"/>
    <tableColumn id="2" xr3:uid="{00000000-0010-0000-0100-000002000000}" name="Source_File"/>
    <tableColumn id="3" xr3:uid="{00000000-0010-0000-0100-000003000000}" name="Line_Number"/>
    <tableColumn id="4" xr3:uid="{00000000-0010-0000-0100-000004000000}" name="Product_Name"/>
    <tableColumn id="6" xr3:uid="{00000000-0010-0000-0100-000006000000}" name="Quantity"/>
    <tableColumn id="7" xr3:uid="{00000000-0010-0000-0100-000007000000}" name="Unit_Size"/>
    <tableColumn id="8" xr3:uid="{00000000-0010-0000-0100-000008000000}" name="Unit_Price" dataCellStyle="Valuta"/>
    <tableColumn id="9" xr3:uid="{00000000-0010-0000-0100-000009000000}" name="Line_Total" dataCellStyle="Valuta"/>
    <tableColumn id="10" xr3:uid="{00000000-0010-0000-0100-00000A000000}" name="Article_Code"/>
    <tableColumn id="11" xr3:uid="{00000000-0010-0000-0100-00000B000000}" name="Barcode" dataDxfId="0">
      <calculatedColumnFormula>tbl_ReceiptLines[[#This Row],[Line_Total]]-tbl_ReceiptLines[[#This Row],[Discount_Info]]</calculatedColumnFormula>
    </tableColumn>
    <tableColumn id="12" xr3:uid="{00000000-0010-0000-0100-00000C000000}" name="Discount_Info" dataCellStyle="Valuta"/>
    <tableColumn id="15" xr3:uid="{00000000-0010-0000-0100-00000F000000}" name="Netto prijs" dataCellStyle="Valut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3D"/>
  </sheetPr>
  <dimension ref="A1:J20"/>
  <sheetViews>
    <sheetView workbookViewId="0">
      <pane ySplit="1" topLeftCell="A14" activePane="bottomLeft" state="frozen"/>
      <selection pane="bottomLeft" activeCell="B10" sqref="B10"/>
    </sheetView>
  </sheetViews>
  <sheetFormatPr defaultRowHeight="14.4" x14ac:dyDescent="0.3"/>
  <cols>
    <col min="1" max="1" width="16" customWidth="1"/>
    <col min="2" max="2" width="22" customWidth="1"/>
    <col min="3" max="4" width="12" customWidth="1"/>
    <col min="5" max="6" width="14" customWidth="1"/>
    <col min="7" max="7" width="26" customWidth="1"/>
    <col min="8" max="8" width="30" customWidth="1"/>
    <col min="9" max="9" width="40" customWidth="1"/>
    <col min="10" max="10" width="60" customWidth="1"/>
  </cols>
  <sheetData>
    <row r="1" spans="1:10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 ht="28.8" x14ac:dyDescent="0.3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17</v>
      </c>
      <c r="I2" s="24" t="s">
        <v>18</v>
      </c>
      <c r="J2" s="24" t="s">
        <v>19</v>
      </c>
    </row>
    <row r="3" spans="1:10" x14ac:dyDescent="0.3">
      <c r="A3" s="24" t="s">
        <v>10</v>
      </c>
      <c r="B3" s="24" t="s">
        <v>20</v>
      </c>
      <c r="C3" s="24" t="s">
        <v>21</v>
      </c>
      <c r="D3" s="24" t="s">
        <v>22</v>
      </c>
      <c r="E3" s="24" t="s">
        <v>14</v>
      </c>
      <c r="F3" s="24" t="s">
        <v>15</v>
      </c>
      <c r="G3" s="24" t="s">
        <v>23</v>
      </c>
      <c r="H3" s="24" t="s">
        <v>24</v>
      </c>
      <c r="I3" s="24" t="s">
        <v>25</v>
      </c>
      <c r="J3" s="24" t="s">
        <v>26</v>
      </c>
    </row>
    <row r="4" spans="1:10" x14ac:dyDescent="0.3">
      <c r="A4" s="24" t="s">
        <v>10</v>
      </c>
      <c r="B4" s="24" t="s">
        <v>20</v>
      </c>
      <c r="C4" s="24" t="s">
        <v>21</v>
      </c>
      <c r="D4" s="24" t="s">
        <v>22</v>
      </c>
      <c r="E4" s="24" t="s">
        <v>14</v>
      </c>
      <c r="F4" s="24" t="s">
        <v>15</v>
      </c>
      <c r="G4" s="24" t="s">
        <v>27</v>
      </c>
      <c r="H4" s="24" t="s">
        <v>28</v>
      </c>
      <c r="I4" s="24" t="s">
        <v>29</v>
      </c>
      <c r="J4" s="24" t="s">
        <v>30</v>
      </c>
    </row>
    <row r="5" spans="1:10" ht="28.8" x14ac:dyDescent="0.3">
      <c r="A5" s="24" t="s">
        <v>10</v>
      </c>
      <c r="B5" s="24" t="s">
        <v>20</v>
      </c>
      <c r="C5" s="24" t="s">
        <v>21</v>
      </c>
      <c r="D5" s="24" t="s">
        <v>22</v>
      </c>
      <c r="E5" s="24" t="s">
        <v>14</v>
      </c>
      <c r="F5" s="24" t="s">
        <v>15</v>
      </c>
      <c r="G5" s="24" t="s">
        <v>16</v>
      </c>
      <c r="H5" s="24" t="s">
        <v>31</v>
      </c>
      <c r="I5" s="24" t="s">
        <v>32</v>
      </c>
      <c r="J5" s="24" t="s">
        <v>19</v>
      </c>
    </row>
    <row r="6" spans="1:10" x14ac:dyDescent="0.3">
      <c r="A6" s="24" t="s">
        <v>10</v>
      </c>
      <c r="B6" s="24" t="s">
        <v>33</v>
      </c>
      <c r="C6" s="24" t="s">
        <v>34</v>
      </c>
      <c r="D6" s="24" t="s">
        <v>35</v>
      </c>
      <c r="E6" s="24" t="s">
        <v>14</v>
      </c>
      <c r="F6" s="24" t="s">
        <v>15</v>
      </c>
      <c r="G6" s="24" t="s">
        <v>23</v>
      </c>
      <c r="H6" s="24" t="s">
        <v>24</v>
      </c>
      <c r="I6" s="24" t="s">
        <v>25</v>
      </c>
      <c r="J6" s="24" t="s">
        <v>26</v>
      </c>
    </row>
    <row r="7" spans="1:10" x14ac:dyDescent="0.3">
      <c r="A7" s="24" t="s">
        <v>10</v>
      </c>
      <c r="B7" s="24" t="s">
        <v>33</v>
      </c>
      <c r="C7" s="24" t="s">
        <v>34</v>
      </c>
      <c r="D7" s="24" t="s">
        <v>35</v>
      </c>
      <c r="E7" s="24" t="s">
        <v>14</v>
      </c>
      <c r="F7" s="24" t="s">
        <v>15</v>
      </c>
      <c r="G7" s="24" t="s">
        <v>27</v>
      </c>
      <c r="H7" s="24" t="s">
        <v>36</v>
      </c>
      <c r="I7" s="24" t="s">
        <v>37</v>
      </c>
      <c r="J7" s="24" t="s">
        <v>30</v>
      </c>
    </row>
    <row r="8" spans="1:10" ht="28.8" x14ac:dyDescent="0.3">
      <c r="A8" s="24" t="s">
        <v>10</v>
      </c>
      <c r="B8" s="24" t="s">
        <v>33</v>
      </c>
      <c r="C8" s="24" t="s">
        <v>34</v>
      </c>
      <c r="D8" s="24" t="s">
        <v>35</v>
      </c>
      <c r="E8" s="24" t="s">
        <v>14</v>
      </c>
      <c r="F8" s="24" t="s">
        <v>15</v>
      </c>
      <c r="G8" s="24" t="s">
        <v>16</v>
      </c>
      <c r="H8" s="24" t="s">
        <v>38</v>
      </c>
      <c r="I8" s="24" t="s">
        <v>39</v>
      </c>
      <c r="J8" s="24" t="s">
        <v>19</v>
      </c>
    </row>
    <row r="9" spans="1:10" x14ac:dyDescent="0.3">
      <c r="A9" s="24" t="s">
        <v>10</v>
      </c>
      <c r="B9" s="24" t="s">
        <v>40</v>
      </c>
      <c r="C9" s="24" t="s">
        <v>41</v>
      </c>
      <c r="D9" s="24" t="s">
        <v>42</v>
      </c>
      <c r="E9" s="24" t="s">
        <v>14</v>
      </c>
      <c r="F9" s="24" t="s">
        <v>15</v>
      </c>
      <c r="G9" s="24" t="s">
        <v>23</v>
      </c>
      <c r="H9" s="24" t="s">
        <v>24</v>
      </c>
      <c r="I9" s="24" t="s">
        <v>25</v>
      </c>
      <c r="J9" s="24" t="s">
        <v>26</v>
      </c>
    </row>
    <row r="10" spans="1:10" x14ac:dyDescent="0.3">
      <c r="A10" s="24" t="s">
        <v>10</v>
      </c>
      <c r="B10" s="24" t="s">
        <v>40</v>
      </c>
      <c r="C10" s="24" t="s">
        <v>41</v>
      </c>
      <c r="D10" s="24" t="s">
        <v>42</v>
      </c>
      <c r="E10" s="24" t="s">
        <v>14</v>
      </c>
      <c r="F10" s="24" t="s">
        <v>15</v>
      </c>
      <c r="G10" s="24" t="s">
        <v>27</v>
      </c>
      <c r="H10" s="24" t="s">
        <v>43</v>
      </c>
      <c r="I10" s="24" t="s">
        <v>44</v>
      </c>
      <c r="J10" s="24" t="s">
        <v>30</v>
      </c>
    </row>
    <row r="11" spans="1:10" ht="28.8" x14ac:dyDescent="0.3">
      <c r="A11" s="24" t="s">
        <v>10</v>
      </c>
      <c r="B11" s="24" t="s">
        <v>40</v>
      </c>
      <c r="C11" s="24" t="s">
        <v>41</v>
      </c>
      <c r="D11" s="24" t="s">
        <v>42</v>
      </c>
      <c r="E11" s="24" t="s">
        <v>14</v>
      </c>
      <c r="F11" s="24" t="s">
        <v>15</v>
      </c>
      <c r="G11" s="24" t="s">
        <v>16</v>
      </c>
      <c r="H11" s="24" t="s">
        <v>45</v>
      </c>
      <c r="I11" s="24" t="s">
        <v>46</v>
      </c>
      <c r="J11" s="24" t="s">
        <v>19</v>
      </c>
    </row>
    <row r="12" spans="1:10" ht="28.8" x14ac:dyDescent="0.3">
      <c r="A12" s="24" t="s">
        <v>47</v>
      </c>
      <c r="B12" s="24" t="s">
        <v>20</v>
      </c>
      <c r="C12" s="24" t="s">
        <v>48</v>
      </c>
      <c r="D12" s="24" t="s">
        <v>22</v>
      </c>
      <c r="E12" s="24" t="s">
        <v>49</v>
      </c>
      <c r="F12" s="24" t="s">
        <v>50</v>
      </c>
      <c r="G12" s="24" t="s">
        <v>51</v>
      </c>
      <c r="H12" s="24" t="s">
        <v>52</v>
      </c>
      <c r="I12" s="24" t="s">
        <v>53</v>
      </c>
      <c r="J12" s="24" t="s">
        <v>54</v>
      </c>
    </row>
    <row r="13" spans="1:10" ht="28.8" x14ac:dyDescent="0.3">
      <c r="A13" s="24" t="s">
        <v>47</v>
      </c>
      <c r="B13" s="24" t="s">
        <v>20</v>
      </c>
      <c r="C13" s="24" t="s">
        <v>55</v>
      </c>
      <c r="D13" s="24" t="s">
        <v>22</v>
      </c>
      <c r="E13" s="24" t="s">
        <v>56</v>
      </c>
      <c r="F13" s="24" t="s">
        <v>50</v>
      </c>
      <c r="G13" s="24" t="s">
        <v>51</v>
      </c>
      <c r="H13" s="24" t="s">
        <v>52</v>
      </c>
      <c r="I13" s="24" t="s">
        <v>57</v>
      </c>
      <c r="J13" s="24" t="s">
        <v>54</v>
      </c>
    </row>
    <row r="14" spans="1:10" x14ac:dyDescent="0.3">
      <c r="A14" s="24" t="s">
        <v>47</v>
      </c>
      <c r="B14" s="24" t="s">
        <v>20</v>
      </c>
      <c r="C14" s="24" t="s">
        <v>58</v>
      </c>
      <c r="D14" s="24" t="s">
        <v>22</v>
      </c>
      <c r="E14" s="24" t="s">
        <v>59</v>
      </c>
      <c r="F14" s="24" t="s">
        <v>15</v>
      </c>
      <c r="G14" s="24" t="s">
        <v>60</v>
      </c>
      <c r="H14" s="24" t="s">
        <v>61</v>
      </c>
      <c r="I14" s="24" t="s">
        <v>62</v>
      </c>
      <c r="J14" s="24" t="s">
        <v>63</v>
      </c>
    </row>
    <row r="15" spans="1:10" ht="28.8" x14ac:dyDescent="0.3">
      <c r="A15" s="24" t="s">
        <v>47</v>
      </c>
      <c r="B15" s="24" t="s">
        <v>20</v>
      </c>
      <c r="C15" s="24" t="s">
        <v>64</v>
      </c>
      <c r="D15" s="24" t="s">
        <v>22</v>
      </c>
      <c r="E15" s="24" t="s">
        <v>65</v>
      </c>
      <c r="F15" s="24" t="s">
        <v>66</v>
      </c>
      <c r="G15" s="24" t="s">
        <v>67</v>
      </c>
      <c r="H15" s="24" t="s">
        <v>68</v>
      </c>
      <c r="I15" s="24" t="s">
        <v>69</v>
      </c>
      <c r="J15" s="24" t="s">
        <v>70</v>
      </c>
    </row>
    <row r="16" spans="1:10" ht="28.8" x14ac:dyDescent="0.3">
      <c r="A16" s="24" t="s">
        <v>47</v>
      </c>
      <c r="B16" s="24" t="s">
        <v>40</v>
      </c>
      <c r="C16" s="24" t="s">
        <v>71</v>
      </c>
      <c r="D16" s="24" t="s">
        <v>42</v>
      </c>
      <c r="E16" s="24" t="s">
        <v>34</v>
      </c>
      <c r="F16" s="24" t="s">
        <v>15</v>
      </c>
      <c r="G16" s="24" t="s">
        <v>72</v>
      </c>
      <c r="H16" s="24" t="s">
        <v>73</v>
      </c>
      <c r="I16" s="24" t="s">
        <v>74</v>
      </c>
      <c r="J16" s="24" t="s">
        <v>75</v>
      </c>
    </row>
    <row r="17" spans="1:10" x14ac:dyDescent="0.3">
      <c r="A17" s="24" t="s">
        <v>47</v>
      </c>
      <c r="B17" s="24" t="s">
        <v>76</v>
      </c>
      <c r="C17" s="24" t="s">
        <v>77</v>
      </c>
      <c r="D17" s="24" t="s">
        <v>77</v>
      </c>
      <c r="E17" s="24" t="s">
        <v>77</v>
      </c>
      <c r="F17" s="24" t="s">
        <v>15</v>
      </c>
      <c r="G17" s="24" t="s">
        <v>78</v>
      </c>
      <c r="H17" s="24" t="s">
        <v>79</v>
      </c>
      <c r="I17" s="24" t="s">
        <v>80</v>
      </c>
      <c r="J17" s="24" t="s">
        <v>81</v>
      </c>
    </row>
    <row r="18" spans="1:10" ht="28.8" x14ac:dyDescent="0.3">
      <c r="A18" s="24" t="s">
        <v>47</v>
      </c>
      <c r="B18" s="24" t="s">
        <v>82</v>
      </c>
      <c r="C18" s="24" t="s">
        <v>83</v>
      </c>
      <c r="D18" s="24" t="s">
        <v>14</v>
      </c>
      <c r="E18" s="24" t="s">
        <v>14</v>
      </c>
      <c r="F18" s="24" t="s">
        <v>84</v>
      </c>
      <c r="G18" s="24" t="s">
        <v>85</v>
      </c>
      <c r="H18" s="24" t="s">
        <v>86</v>
      </c>
      <c r="I18" s="24" t="s">
        <v>87</v>
      </c>
      <c r="J18" s="24" t="s">
        <v>88</v>
      </c>
    </row>
    <row r="19" spans="1:10" x14ac:dyDescent="0.3">
      <c r="A19" s="24" t="s">
        <v>89</v>
      </c>
      <c r="B19" s="24" t="s">
        <v>90</v>
      </c>
      <c r="C19" s="24" t="s">
        <v>14</v>
      </c>
      <c r="D19" s="24" t="s">
        <v>14</v>
      </c>
      <c r="E19" s="24" t="s">
        <v>14</v>
      </c>
      <c r="F19" s="24" t="s">
        <v>50</v>
      </c>
      <c r="G19" s="24" t="s">
        <v>91</v>
      </c>
      <c r="H19" s="24" t="s">
        <v>92</v>
      </c>
      <c r="I19" s="24" t="s">
        <v>93</v>
      </c>
      <c r="J19" s="24" t="s">
        <v>94</v>
      </c>
    </row>
    <row r="20" spans="1:10" x14ac:dyDescent="0.3">
      <c r="A20" s="24" t="s">
        <v>89</v>
      </c>
      <c r="B20" s="24" t="s">
        <v>90</v>
      </c>
      <c r="C20" s="24" t="s">
        <v>14</v>
      </c>
      <c r="D20" s="24" t="s">
        <v>14</v>
      </c>
      <c r="E20" s="24" t="s">
        <v>14</v>
      </c>
      <c r="F20" s="24" t="s">
        <v>50</v>
      </c>
      <c r="G20" s="24" t="s">
        <v>95</v>
      </c>
      <c r="H20" s="24" t="s">
        <v>92</v>
      </c>
      <c r="I20" s="24" t="s">
        <v>93</v>
      </c>
      <c r="J20" s="24" t="s">
        <v>96</v>
      </c>
    </row>
  </sheetData>
  <autoFilter ref="A1:J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C1" workbookViewId="0">
      <pane ySplit="1" topLeftCell="A4" activePane="bottomLeft" state="frozen"/>
      <selection pane="bottomLeft" activeCell="G30" sqref="G30"/>
    </sheetView>
  </sheetViews>
  <sheetFormatPr defaultRowHeight="14.4" x14ac:dyDescent="0.3"/>
  <cols>
    <col min="1" max="1" width="10" customWidth="1"/>
    <col min="2" max="2" width="22" customWidth="1"/>
    <col min="3" max="3" width="24" customWidth="1"/>
    <col min="4" max="4" width="42" customWidth="1"/>
    <col min="5" max="5" width="20" customWidth="1"/>
    <col min="6" max="7" width="14" customWidth="1"/>
    <col min="8" max="8" width="10" customWidth="1"/>
    <col min="9" max="9" width="14" customWidth="1"/>
  </cols>
  <sheetData>
    <row r="1" spans="1:9" x14ac:dyDescent="0.3">
      <c r="A1" s="1" t="s">
        <v>3</v>
      </c>
      <c r="B1" s="1" t="s">
        <v>1</v>
      </c>
      <c r="C1" s="1" t="s">
        <v>23</v>
      </c>
      <c r="D1" s="1" t="s">
        <v>97</v>
      </c>
      <c r="E1" s="1" t="s">
        <v>98</v>
      </c>
      <c r="F1" s="1" t="s">
        <v>99</v>
      </c>
      <c r="G1" s="1" t="s">
        <v>27</v>
      </c>
      <c r="H1" s="1" t="s">
        <v>100</v>
      </c>
      <c r="I1" s="2" t="s">
        <v>16</v>
      </c>
    </row>
    <row r="2" spans="1:9" x14ac:dyDescent="0.3">
      <c r="A2" s="3" t="s">
        <v>101</v>
      </c>
      <c r="B2" s="5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4">
        <v>17.79</v>
      </c>
    </row>
    <row r="3" spans="1:9" x14ac:dyDescent="0.3">
      <c r="A3" s="3" t="s">
        <v>109</v>
      </c>
      <c r="B3" s="5" t="s">
        <v>110</v>
      </c>
      <c r="C3" s="3" t="s">
        <v>111</v>
      </c>
      <c r="D3" s="3" t="s">
        <v>112</v>
      </c>
      <c r="E3" s="3" t="s">
        <v>113</v>
      </c>
      <c r="F3" s="3" t="s">
        <v>106</v>
      </c>
      <c r="G3" s="3" t="s">
        <v>114</v>
      </c>
      <c r="H3" s="3" t="s">
        <v>115</v>
      </c>
      <c r="I3" s="4">
        <v>5.0199999999999996</v>
      </c>
    </row>
    <row r="4" spans="1:9" x14ac:dyDescent="0.3">
      <c r="A4" s="3" t="s">
        <v>116</v>
      </c>
      <c r="B4" s="5" t="s">
        <v>117</v>
      </c>
      <c r="C4" s="3" t="s">
        <v>111</v>
      </c>
      <c r="D4" s="3" t="s">
        <v>118</v>
      </c>
      <c r="E4" s="3" t="s">
        <v>105</v>
      </c>
      <c r="F4" s="3" t="s">
        <v>106</v>
      </c>
      <c r="G4" s="3" t="s">
        <v>119</v>
      </c>
      <c r="H4" s="3" t="s">
        <v>120</v>
      </c>
      <c r="I4" s="4">
        <v>49.27</v>
      </c>
    </row>
    <row r="5" spans="1:9" x14ac:dyDescent="0.3">
      <c r="A5" s="3" t="s">
        <v>121</v>
      </c>
      <c r="B5" s="5" t="s">
        <v>122</v>
      </c>
      <c r="C5" s="3" t="s">
        <v>123</v>
      </c>
      <c r="D5" s="3"/>
      <c r="E5" s="3"/>
      <c r="F5" s="3" t="s">
        <v>106</v>
      </c>
      <c r="G5" s="3" t="s">
        <v>124</v>
      </c>
      <c r="H5" s="3" t="s">
        <v>125</v>
      </c>
      <c r="I5" s="4">
        <v>17.97</v>
      </c>
    </row>
    <row r="6" spans="1:9" x14ac:dyDescent="0.3">
      <c r="A6" s="3" t="s">
        <v>126</v>
      </c>
      <c r="B6" s="5" t="s">
        <v>127</v>
      </c>
      <c r="C6" s="3" t="s">
        <v>123</v>
      </c>
      <c r="D6" s="3"/>
      <c r="E6" s="3"/>
      <c r="F6" s="3" t="s">
        <v>106</v>
      </c>
      <c r="G6" s="3" t="s">
        <v>128</v>
      </c>
      <c r="H6" s="3" t="s">
        <v>129</v>
      </c>
      <c r="I6" s="4">
        <v>23.19</v>
      </c>
    </row>
    <row r="7" spans="1:9" x14ac:dyDescent="0.3">
      <c r="A7" s="3" t="s">
        <v>130</v>
      </c>
      <c r="B7" s="5" t="s">
        <v>131</v>
      </c>
      <c r="C7" s="3" t="s">
        <v>132</v>
      </c>
      <c r="D7" s="3" t="s">
        <v>133</v>
      </c>
      <c r="E7" s="3" t="s">
        <v>134</v>
      </c>
      <c r="F7" s="3" t="s">
        <v>106</v>
      </c>
      <c r="G7" s="3" t="s">
        <v>135</v>
      </c>
      <c r="H7" s="3"/>
      <c r="I7" s="4">
        <v>288.5</v>
      </c>
    </row>
    <row r="8" spans="1:9" x14ac:dyDescent="0.3">
      <c r="A8" s="3" t="s">
        <v>136</v>
      </c>
      <c r="B8" s="5" t="s">
        <v>137</v>
      </c>
      <c r="C8" s="3" t="s">
        <v>138</v>
      </c>
      <c r="D8" s="3" t="s">
        <v>139</v>
      </c>
      <c r="E8" s="3" t="s">
        <v>140</v>
      </c>
      <c r="F8" s="3" t="s">
        <v>106</v>
      </c>
      <c r="G8" s="3" t="s">
        <v>141</v>
      </c>
      <c r="H8" s="3"/>
      <c r="I8" s="4">
        <v>83.95</v>
      </c>
    </row>
    <row r="9" spans="1:9" x14ac:dyDescent="0.3">
      <c r="A9" s="3" t="s">
        <v>13</v>
      </c>
      <c r="B9" s="5" t="s">
        <v>11</v>
      </c>
      <c r="C9" s="3" t="s">
        <v>25</v>
      </c>
      <c r="D9" s="3" t="s">
        <v>142</v>
      </c>
      <c r="E9" s="3" t="s">
        <v>143</v>
      </c>
      <c r="F9" s="3" t="s">
        <v>144</v>
      </c>
      <c r="G9" s="3" t="s">
        <v>145</v>
      </c>
      <c r="H9" s="3"/>
      <c r="I9" s="4">
        <v>104.95</v>
      </c>
    </row>
    <row r="10" spans="1:9" x14ac:dyDescent="0.3">
      <c r="A10" s="3" t="s">
        <v>146</v>
      </c>
      <c r="B10" s="5" t="s">
        <v>147</v>
      </c>
      <c r="C10" s="3" t="s">
        <v>148</v>
      </c>
      <c r="D10" s="3"/>
      <c r="E10" s="3"/>
      <c r="F10" s="3" t="s">
        <v>144</v>
      </c>
      <c r="G10" s="3"/>
      <c r="H10" s="3"/>
      <c r="I10" s="4">
        <v>65</v>
      </c>
    </row>
    <row r="11" spans="1:9" x14ac:dyDescent="0.3">
      <c r="A11" s="3" t="s">
        <v>149</v>
      </c>
      <c r="B11" s="5" t="s">
        <v>150</v>
      </c>
      <c r="C11" s="3" t="s">
        <v>151</v>
      </c>
      <c r="D11" s="3" t="s">
        <v>152</v>
      </c>
      <c r="E11" s="3" t="s">
        <v>153</v>
      </c>
      <c r="F11" s="3" t="s">
        <v>154</v>
      </c>
      <c r="G11" s="3" t="s">
        <v>155</v>
      </c>
      <c r="H11" s="3"/>
      <c r="I11" s="4">
        <v>1449</v>
      </c>
    </row>
    <row r="12" spans="1:9" x14ac:dyDescent="0.3">
      <c r="A12" s="3" t="s">
        <v>156</v>
      </c>
      <c r="B12" s="5" t="s">
        <v>157</v>
      </c>
      <c r="C12" s="3" t="s">
        <v>111</v>
      </c>
      <c r="D12" s="3" t="s">
        <v>158</v>
      </c>
      <c r="E12" s="3"/>
      <c r="F12" s="3" t="s">
        <v>159</v>
      </c>
      <c r="G12" s="3" t="s">
        <v>160</v>
      </c>
      <c r="H12" s="3" t="s">
        <v>161</v>
      </c>
      <c r="I12" s="4">
        <v>8.2799999999999994</v>
      </c>
    </row>
    <row r="13" spans="1:9" x14ac:dyDescent="0.3">
      <c r="A13" s="3" t="s">
        <v>162</v>
      </c>
      <c r="B13" s="5" t="s">
        <v>163</v>
      </c>
      <c r="C13" s="3" t="s">
        <v>164</v>
      </c>
      <c r="D13" s="3" t="s">
        <v>165</v>
      </c>
      <c r="E13" s="3"/>
      <c r="F13" s="3" t="s">
        <v>166</v>
      </c>
      <c r="G13" s="3" t="s">
        <v>167</v>
      </c>
      <c r="H13" s="3" t="s">
        <v>168</v>
      </c>
      <c r="I13" s="4">
        <v>6.55</v>
      </c>
    </row>
    <row r="14" spans="1:9" x14ac:dyDescent="0.3">
      <c r="A14" s="3" t="s">
        <v>169</v>
      </c>
      <c r="B14" s="5" t="s">
        <v>170</v>
      </c>
      <c r="C14" s="3" t="s">
        <v>164</v>
      </c>
      <c r="D14" s="3" t="s">
        <v>171</v>
      </c>
      <c r="E14" s="3" t="s">
        <v>172</v>
      </c>
      <c r="F14" s="3" t="s">
        <v>166</v>
      </c>
      <c r="G14" s="3" t="s">
        <v>173</v>
      </c>
      <c r="H14" s="3" t="s">
        <v>174</v>
      </c>
      <c r="I14" s="4">
        <v>5</v>
      </c>
    </row>
    <row r="15" spans="1:9" x14ac:dyDescent="0.3">
      <c r="A15" s="3" t="s">
        <v>175</v>
      </c>
      <c r="B15" s="5" t="s">
        <v>176</v>
      </c>
      <c r="C15" s="3" t="s">
        <v>177</v>
      </c>
      <c r="D15" s="3" t="s">
        <v>178</v>
      </c>
      <c r="E15" s="3" t="s">
        <v>179</v>
      </c>
      <c r="F15" s="3" t="s">
        <v>166</v>
      </c>
      <c r="G15" s="3" t="s">
        <v>180</v>
      </c>
      <c r="H15" s="3" t="s">
        <v>181</v>
      </c>
      <c r="I15" s="4">
        <v>14.33</v>
      </c>
    </row>
    <row r="16" spans="1:9" x14ac:dyDescent="0.3">
      <c r="A16" s="3" t="s">
        <v>182</v>
      </c>
      <c r="B16" s="5" t="s">
        <v>183</v>
      </c>
      <c r="C16" s="3" t="s">
        <v>184</v>
      </c>
      <c r="D16" s="3" t="s">
        <v>185</v>
      </c>
      <c r="E16" s="3" t="s">
        <v>105</v>
      </c>
      <c r="F16" s="3" t="s">
        <v>159</v>
      </c>
      <c r="G16" s="3" t="s">
        <v>186</v>
      </c>
      <c r="H16" s="3" t="s">
        <v>187</v>
      </c>
      <c r="I16" s="4">
        <v>22.82</v>
      </c>
    </row>
    <row r="17" spans="1:9" x14ac:dyDescent="0.3">
      <c r="A17" s="3" t="s">
        <v>188</v>
      </c>
      <c r="B17" s="5" t="s">
        <v>189</v>
      </c>
      <c r="C17" s="3" t="s">
        <v>190</v>
      </c>
      <c r="D17" s="3" t="s">
        <v>191</v>
      </c>
      <c r="E17" s="3" t="s">
        <v>192</v>
      </c>
      <c r="F17" s="3" t="s">
        <v>193</v>
      </c>
      <c r="G17" s="3" t="s">
        <v>194</v>
      </c>
      <c r="H17" s="3" t="s">
        <v>195</v>
      </c>
      <c r="I17" s="4">
        <v>56.91</v>
      </c>
    </row>
    <row r="18" spans="1:9" x14ac:dyDescent="0.3">
      <c r="A18" s="3" t="s">
        <v>196</v>
      </c>
      <c r="B18" s="5" t="s">
        <v>197</v>
      </c>
      <c r="C18" s="3" t="s">
        <v>198</v>
      </c>
      <c r="D18" s="3" t="s">
        <v>199</v>
      </c>
      <c r="E18" s="3" t="s">
        <v>200</v>
      </c>
      <c r="F18" s="3" t="s">
        <v>166</v>
      </c>
      <c r="G18" s="3" t="s">
        <v>201</v>
      </c>
      <c r="H18" s="3" t="s">
        <v>202</v>
      </c>
      <c r="I18" s="4">
        <v>0</v>
      </c>
    </row>
    <row r="19" spans="1:9" x14ac:dyDescent="0.3">
      <c r="A19" s="3" t="s">
        <v>203</v>
      </c>
      <c r="B19" s="5" t="s">
        <v>204</v>
      </c>
      <c r="C19" s="3" t="s">
        <v>205</v>
      </c>
      <c r="D19" s="3" t="s">
        <v>206</v>
      </c>
      <c r="E19" s="3" t="s">
        <v>207</v>
      </c>
      <c r="F19" s="3" t="s">
        <v>193</v>
      </c>
      <c r="G19" s="3" t="s">
        <v>208</v>
      </c>
      <c r="H19" s="3" t="s">
        <v>209</v>
      </c>
      <c r="I19" s="4">
        <v>40.75</v>
      </c>
    </row>
    <row r="20" spans="1:9" x14ac:dyDescent="0.3">
      <c r="A20" s="3" t="s">
        <v>210</v>
      </c>
      <c r="B20" s="5" t="s">
        <v>211</v>
      </c>
      <c r="C20" s="3" t="s">
        <v>205</v>
      </c>
      <c r="D20" s="3" t="s">
        <v>212</v>
      </c>
      <c r="E20" s="3" t="s">
        <v>207</v>
      </c>
      <c r="F20" s="3" t="s">
        <v>193</v>
      </c>
      <c r="G20" s="3" t="s">
        <v>213</v>
      </c>
      <c r="H20" s="3" t="s">
        <v>214</v>
      </c>
      <c r="I20" s="4">
        <v>34.14</v>
      </c>
    </row>
    <row r="21" spans="1:9" x14ac:dyDescent="0.3">
      <c r="A21" s="3" t="s">
        <v>215</v>
      </c>
      <c r="B21" s="5" t="s">
        <v>216</v>
      </c>
      <c r="C21" s="3" t="s">
        <v>217</v>
      </c>
      <c r="D21" s="3" t="s">
        <v>218</v>
      </c>
      <c r="E21" s="3" t="s">
        <v>153</v>
      </c>
      <c r="F21" s="3" t="s">
        <v>154</v>
      </c>
      <c r="G21" s="3" t="s">
        <v>219</v>
      </c>
      <c r="H21" s="3"/>
      <c r="I21" s="4">
        <v>203.95</v>
      </c>
    </row>
    <row r="22" spans="1:9" x14ac:dyDescent="0.3">
      <c r="A22" s="3" t="s">
        <v>220</v>
      </c>
      <c r="B22" s="5" t="s">
        <v>221</v>
      </c>
      <c r="C22" s="3" t="s">
        <v>217</v>
      </c>
      <c r="D22" s="3" t="s">
        <v>218</v>
      </c>
      <c r="E22" s="3" t="s">
        <v>153</v>
      </c>
      <c r="F22" s="3" t="s">
        <v>154</v>
      </c>
      <c r="G22" s="3" t="s">
        <v>222</v>
      </c>
      <c r="H22" s="3"/>
      <c r="I22" s="4">
        <v>479</v>
      </c>
    </row>
    <row r="23" spans="1:9" x14ac:dyDescent="0.3">
      <c r="A23" s="3" t="s">
        <v>223</v>
      </c>
      <c r="B23" s="5" t="s">
        <v>224</v>
      </c>
      <c r="C23" s="3" t="s">
        <v>225</v>
      </c>
      <c r="D23" s="3" t="s">
        <v>226</v>
      </c>
      <c r="E23" s="3" t="s">
        <v>227</v>
      </c>
      <c r="F23" s="3" t="s">
        <v>154</v>
      </c>
      <c r="G23" s="3" t="s">
        <v>228</v>
      </c>
      <c r="H23" s="3" t="s">
        <v>229</v>
      </c>
      <c r="I23" s="4">
        <v>56.54</v>
      </c>
    </row>
    <row r="24" spans="1:9" x14ac:dyDescent="0.3">
      <c r="A24" s="3" t="s">
        <v>230</v>
      </c>
      <c r="B24" s="5" t="s">
        <v>231</v>
      </c>
      <c r="C24" s="3" t="s">
        <v>111</v>
      </c>
      <c r="D24" s="3" t="s">
        <v>232</v>
      </c>
      <c r="E24" s="3" t="s">
        <v>179</v>
      </c>
      <c r="F24" s="3" t="s">
        <v>166</v>
      </c>
      <c r="G24" s="7" t="s">
        <v>233</v>
      </c>
      <c r="H24" s="8">
        <v>0.33958333333333329</v>
      </c>
      <c r="I24" s="4">
        <v>5.4</v>
      </c>
    </row>
    <row r="25" spans="1:9" x14ac:dyDescent="0.3">
      <c r="A25" s="3" t="s">
        <v>234</v>
      </c>
      <c r="B25" s="5" t="s">
        <v>235</v>
      </c>
      <c r="C25" s="3" t="s">
        <v>177</v>
      </c>
      <c r="D25" s="3" t="s">
        <v>236</v>
      </c>
      <c r="E25" s="3" t="s">
        <v>237</v>
      </c>
      <c r="F25" s="3" t="s">
        <v>159</v>
      </c>
      <c r="G25" s="3" t="s">
        <v>228</v>
      </c>
      <c r="H25" s="8">
        <v>0.4861111111111111</v>
      </c>
      <c r="I25" s="4">
        <v>14.36</v>
      </c>
    </row>
    <row r="26" spans="1:9" x14ac:dyDescent="0.3">
      <c r="A26" t="s">
        <v>22</v>
      </c>
      <c r="B26" s="11" t="s">
        <v>20</v>
      </c>
      <c r="C26" t="s">
        <v>25</v>
      </c>
      <c r="D26" s="12" t="s">
        <v>142</v>
      </c>
      <c r="E26" s="12" t="s">
        <v>143</v>
      </c>
      <c r="F26" t="s">
        <v>144</v>
      </c>
      <c r="G26" s="13" t="s">
        <v>29</v>
      </c>
      <c r="H26" s="14"/>
      <c r="I26" s="17">
        <v>114.46</v>
      </c>
    </row>
    <row r="27" spans="1:9" x14ac:dyDescent="0.3">
      <c r="A27" t="s">
        <v>35</v>
      </c>
      <c r="B27" s="11" t="s">
        <v>33</v>
      </c>
      <c r="C27" t="s">
        <v>25</v>
      </c>
      <c r="D27" s="12" t="s">
        <v>142</v>
      </c>
      <c r="E27" s="12" t="s">
        <v>143</v>
      </c>
      <c r="F27" t="s">
        <v>144</v>
      </c>
      <c r="G27" s="13" t="s">
        <v>37</v>
      </c>
      <c r="H27" s="14"/>
      <c r="I27" s="17">
        <v>138.93</v>
      </c>
    </row>
    <row r="28" spans="1:9" x14ac:dyDescent="0.3">
      <c r="A28" t="s">
        <v>42</v>
      </c>
      <c r="B28" s="11" t="s">
        <v>40</v>
      </c>
      <c r="C28" t="s">
        <v>25</v>
      </c>
      <c r="D28" s="18" t="s">
        <v>142</v>
      </c>
      <c r="E28" s="18" t="s">
        <v>143</v>
      </c>
      <c r="F28" t="s">
        <v>144</v>
      </c>
      <c r="G28" s="19" t="s">
        <v>44</v>
      </c>
      <c r="H28" s="14"/>
      <c r="I28" s="17">
        <v>153.43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1"/>
  <sheetViews>
    <sheetView tabSelected="1" workbookViewId="0">
      <pane xSplit="2" ySplit="1" topLeftCell="C194" activePane="bottomRight" state="frozen"/>
      <selection activeCell="B10" sqref="B10"/>
      <selection pane="topRight" activeCell="B10" sqref="B10"/>
      <selection pane="bottomLeft" activeCell="B10" sqref="B10"/>
      <selection pane="bottomRight" activeCell="D251" sqref="D251"/>
    </sheetView>
  </sheetViews>
  <sheetFormatPr defaultRowHeight="14.4" x14ac:dyDescent="0.3"/>
  <cols>
    <col min="1" max="1" width="10" customWidth="1"/>
    <col min="2" max="2" width="21.5546875" bestFit="1" customWidth="1"/>
    <col min="3" max="3" width="6.6640625" customWidth="1"/>
    <col min="4" max="4" width="34.88671875" customWidth="1"/>
    <col min="5" max="5" width="8.21875" customWidth="1"/>
    <col min="6" max="6" width="10.88671875" customWidth="1"/>
    <col min="7" max="8" width="12" style="6" customWidth="1"/>
    <col min="9" max="10" width="14" hidden="1" customWidth="1"/>
    <col min="11" max="11" width="12" style="6" customWidth="1"/>
    <col min="12" max="12" width="14" style="6" customWidth="1"/>
  </cols>
  <sheetData>
    <row r="1" spans="1:12" x14ac:dyDescent="0.3">
      <c r="A1" s="9" t="s">
        <v>3</v>
      </c>
      <c r="B1" s="9" t="s">
        <v>1</v>
      </c>
      <c r="C1" s="9" t="s">
        <v>60</v>
      </c>
      <c r="D1" s="9" t="s">
        <v>72</v>
      </c>
      <c r="E1" s="9" t="s">
        <v>238</v>
      </c>
      <c r="F1" s="9" t="s">
        <v>239</v>
      </c>
      <c r="G1" s="16" t="s">
        <v>240</v>
      </c>
      <c r="H1" s="16" t="s">
        <v>241</v>
      </c>
      <c r="I1" s="9" t="s">
        <v>242</v>
      </c>
      <c r="J1" s="9" t="s">
        <v>243</v>
      </c>
      <c r="K1" s="16" t="s">
        <v>244</v>
      </c>
      <c r="L1" s="10" t="s">
        <v>245</v>
      </c>
    </row>
    <row r="2" spans="1:12" hidden="1" x14ac:dyDescent="0.3">
      <c r="A2" t="s">
        <v>101</v>
      </c>
      <c r="B2" s="11" t="s">
        <v>102</v>
      </c>
      <c r="C2">
        <v>1</v>
      </c>
      <c r="D2" t="s">
        <v>246</v>
      </c>
      <c r="E2">
        <v>6</v>
      </c>
      <c r="F2" t="s">
        <v>247</v>
      </c>
      <c r="G2" s="6">
        <f>tbl_ReceiptLines[[#This Row],[Netto prijs]]/tbl_ReceiptLines[[#This Row],[Quantity]]</f>
        <v>0.54</v>
      </c>
      <c r="H2" s="6">
        <v>3.24</v>
      </c>
      <c r="I2">
        <v>3003700</v>
      </c>
      <c r="J2">
        <f>tbl_ReceiptLines[[#This Row],[Line_Total]]-tbl_ReceiptLines[[#This Row],[Discount_Info]]</f>
        <v>3.24</v>
      </c>
      <c r="L2" s="6">
        <f>tbl_ReceiptLines[[#This Row],[Line_Total]]-tbl_ReceiptLines[[#This Row],[Discount_Info]]</f>
        <v>3.24</v>
      </c>
    </row>
    <row r="3" spans="1:12" hidden="1" x14ac:dyDescent="0.3">
      <c r="A3" t="s">
        <v>101</v>
      </c>
      <c r="B3" s="11" t="s">
        <v>102</v>
      </c>
      <c r="C3">
        <v>2</v>
      </c>
      <c r="D3" t="s">
        <v>248</v>
      </c>
      <c r="E3">
        <v>1</v>
      </c>
      <c r="F3" t="s">
        <v>249</v>
      </c>
      <c r="G3" s="6">
        <f>tbl_ReceiptLines[[#This Row],[Netto prijs]]/tbl_ReceiptLines[[#This Row],[Quantity]]</f>
        <v>7.98</v>
      </c>
      <c r="H3" s="6">
        <v>7.98</v>
      </c>
      <c r="I3">
        <v>3221989</v>
      </c>
      <c r="J3">
        <f>tbl_ReceiptLines[[#This Row],[Line_Total]]-tbl_ReceiptLines[[#This Row],[Discount_Info]]</f>
        <v>7.98</v>
      </c>
      <c r="L3" s="6">
        <f>tbl_ReceiptLines[[#This Row],[Line_Total]]-tbl_ReceiptLines[[#This Row],[Discount_Info]]</f>
        <v>7.98</v>
      </c>
    </row>
    <row r="4" spans="1:12" hidden="1" x14ac:dyDescent="0.3">
      <c r="A4" t="s">
        <v>101</v>
      </c>
      <c r="B4" s="11" t="s">
        <v>102</v>
      </c>
      <c r="C4">
        <v>3</v>
      </c>
      <c r="D4" t="s">
        <v>250</v>
      </c>
      <c r="E4">
        <v>1</v>
      </c>
      <c r="G4" s="6">
        <f>tbl_ReceiptLines[[#This Row],[Netto prijs]]/tbl_ReceiptLines[[#This Row],[Quantity]]</f>
        <v>3.99</v>
      </c>
      <c r="H4" s="6">
        <v>3.99</v>
      </c>
      <c r="I4">
        <v>2577107</v>
      </c>
      <c r="J4">
        <f>tbl_ReceiptLines[[#This Row],[Line_Total]]-tbl_ReceiptLines[[#This Row],[Discount_Info]]</f>
        <v>3.99</v>
      </c>
      <c r="L4" s="6">
        <f>tbl_ReceiptLines[[#This Row],[Line_Total]]-tbl_ReceiptLines[[#This Row],[Discount_Info]]</f>
        <v>3.99</v>
      </c>
    </row>
    <row r="5" spans="1:12" hidden="1" x14ac:dyDescent="0.3">
      <c r="A5" t="s">
        <v>101</v>
      </c>
      <c r="B5" s="11" t="s">
        <v>102</v>
      </c>
      <c r="C5">
        <v>4</v>
      </c>
      <c r="D5" t="s">
        <v>251</v>
      </c>
      <c r="E5">
        <v>1</v>
      </c>
      <c r="F5" t="s">
        <v>252</v>
      </c>
      <c r="G5" s="6">
        <f>tbl_ReceiptLines[[#This Row],[Netto prijs]]/tbl_ReceiptLines[[#This Row],[Quantity]]</f>
        <v>2.58</v>
      </c>
      <c r="H5" s="6">
        <v>2.58</v>
      </c>
      <c r="I5">
        <v>3201998</v>
      </c>
      <c r="J5">
        <f>tbl_ReceiptLines[[#This Row],[Line_Total]]-tbl_ReceiptLines[[#This Row],[Discount_Info]]</f>
        <v>2.58</v>
      </c>
      <c r="L5" s="6">
        <f>tbl_ReceiptLines[[#This Row],[Line_Total]]-tbl_ReceiptLines[[#This Row],[Discount_Info]]</f>
        <v>2.58</v>
      </c>
    </row>
    <row r="6" spans="1:12" hidden="1" x14ac:dyDescent="0.3">
      <c r="A6" t="s">
        <v>109</v>
      </c>
      <c r="B6" s="11" t="s">
        <v>110</v>
      </c>
      <c r="C6">
        <v>1</v>
      </c>
      <c r="D6" t="s">
        <v>253</v>
      </c>
      <c r="E6">
        <v>1</v>
      </c>
      <c r="G6" s="6">
        <f>tbl_ReceiptLines[[#This Row],[Line_Total]]/tbl_ReceiptLines[[#This Row],[Quantity]]</f>
        <v>1.19</v>
      </c>
      <c r="H6" s="6">
        <v>1.19</v>
      </c>
      <c r="J6">
        <f>tbl_ReceiptLines[[#This Row],[Line_Total]]-tbl_ReceiptLines[[#This Row],[Discount_Info]]</f>
        <v>1.19</v>
      </c>
      <c r="L6" s="6">
        <f>tbl_ReceiptLines[[#This Row],[Line_Total]]-tbl_ReceiptLines[[#This Row],[Discount_Info]]</f>
        <v>1.19</v>
      </c>
    </row>
    <row r="7" spans="1:12" hidden="1" x14ac:dyDescent="0.3">
      <c r="A7" t="s">
        <v>109</v>
      </c>
      <c r="B7" s="11" t="s">
        <v>110</v>
      </c>
      <c r="C7">
        <v>2</v>
      </c>
      <c r="D7" t="s">
        <v>254</v>
      </c>
      <c r="E7">
        <v>1</v>
      </c>
      <c r="G7" s="6">
        <f>tbl_ReceiptLines[[#This Row],[Line_Total]]/tbl_ReceiptLines[[#This Row],[Quantity]]</f>
        <v>0.99</v>
      </c>
      <c r="H7" s="6">
        <v>0.99</v>
      </c>
      <c r="J7">
        <f>tbl_ReceiptLines[[#This Row],[Line_Total]]-tbl_ReceiptLines[[#This Row],[Discount_Info]]</f>
        <v>0.84</v>
      </c>
      <c r="K7" s="6">
        <v>0.15</v>
      </c>
      <c r="L7" s="6">
        <f>tbl_ReceiptLines[[#This Row],[Line_Total]]-tbl_ReceiptLines[[#This Row],[Discount_Info]]</f>
        <v>0.84</v>
      </c>
    </row>
    <row r="8" spans="1:12" hidden="1" x14ac:dyDescent="0.3">
      <c r="A8" t="s">
        <v>109</v>
      </c>
      <c r="B8" s="11" t="s">
        <v>110</v>
      </c>
      <c r="C8">
        <v>3</v>
      </c>
      <c r="D8" t="s">
        <v>255</v>
      </c>
      <c r="E8">
        <v>1</v>
      </c>
      <c r="G8" s="6">
        <f>tbl_ReceiptLines[[#This Row],[Line_Total]]/tbl_ReceiptLines[[#This Row],[Quantity]]</f>
        <v>2.19</v>
      </c>
      <c r="H8" s="6">
        <v>2.19</v>
      </c>
      <c r="J8">
        <f>tbl_ReceiptLines[[#This Row],[Line_Total]]-tbl_ReceiptLines[[#This Row],[Discount_Info]]</f>
        <v>2.19</v>
      </c>
      <c r="L8" s="6">
        <f>tbl_ReceiptLines[[#This Row],[Line_Total]]-tbl_ReceiptLines[[#This Row],[Discount_Info]]</f>
        <v>2.19</v>
      </c>
    </row>
    <row r="9" spans="1:12" hidden="1" x14ac:dyDescent="0.3">
      <c r="A9" t="s">
        <v>109</v>
      </c>
      <c r="B9" s="11" t="s">
        <v>110</v>
      </c>
      <c r="C9">
        <v>4</v>
      </c>
      <c r="D9" t="s">
        <v>256</v>
      </c>
      <c r="E9">
        <v>8</v>
      </c>
      <c r="G9" s="6">
        <v>0.1</v>
      </c>
      <c r="H9" s="6">
        <f>tbl_ReceiptLines[[#This Row],[Quantity]]*tbl_ReceiptLines[[#This Row],[Unit_Price]]</f>
        <v>0.8</v>
      </c>
      <c r="J9">
        <f>tbl_ReceiptLines[[#This Row],[Line_Total]]-tbl_ReceiptLines[[#This Row],[Discount_Info]]</f>
        <v>0.8</v>
      </c>
      <c r="L9" s="6">
        <f>tbl_ReceiptLines[[#This Row],[Line_Total]]-tbl_ReceiptLines[[#This Row],[Discount_Info]]</f>
        <v>0.8</v>
      </c>
    </row>
    <row r="10" spans="1:12" hidden="1" x14ac:dyDescent="0.3">
      <c r="A10" t="s">
        <v>116</v>
      </c>
      <c r="B10" s="11" t="s">
        <v>117</v>
      </c>
      <c r="C10">
        <v>1</v>
      </c>
      <c r="D10" t="s">
        <v>257</v>
      </c>
      <c r="E10">
        <v>1</v>
      </c>
      <c r="H10" s="6">
        <v>1.3</v>
      </c>
      <c r="J10">
        <f>tbl_ReceiptLines[[#This Row],[Line_Total]]-tbl_ReceiptLines[[#This Row],[Discount_Info]]</f>
        <v>0.79</v>
      </c>
      <c r="K10" s="6">
        <v>0.51</v>
      </c>
      <c r="L10" s="6">
        <f>tbl_ReceiptLines[[#This Row],[Line_Total]]-tbl_ReceiptLines[[#This Row],[Discount_Info]]</f>
        <v>0.79</v>
      </c>
    </row>
    <row r="11" spans="1:12" hidden="1" x14ac:dyDescent="0.3">
      <c r="A11" t="s">
        <v>116</v>
      </c>
      <c r="B11" s="11" t="s">
        <v>117</v>
      </c>
      <c r="C11">
        <v>2</v>
      </c>
      <c r="D11" t="s">
        <v>258</v>
      </c>
      <c r="E11">
        <v>2</v>
      </c>
      <c r="G11" s="6">
        <f>0.99-0.49</f>
        <v>0.5</v>
      </c>
      <c r="H11" s="6">
        <v>1.98</v>
      </c>
      <c r="J11">
        <f>tbl_ReceiptLines[[#This Row],[Line_Total]]-tbl_ReceiptLines[[#This Row],[Discount_Info]]</f>
        <v>1.49</v>
      </c>
      <c r="K11" s="6">
        <v>0.49</v>
      </c>
      <c r="L11" s="6">
        <f>tbl_ReceiptLines[[#This Row],[Line_Total]]-tbl_ReceiptLines[[#This Row],[Discount_Info]]</f>
        <v>1.49</v>
      </c>
    </row>
    <row r="12" spans="1:12" hidden="1" x14ac:dyDescent="0.3">
      <c r="A12" t="s">
        <v>116</v>
      </c>
      <c r="B12" s="11" t="s">
        <v>117</v>
      </c>
      <c r="C12">
        <v>3</v>
      </c>
      <c r="D12" t="s">
        <v>259</v>
      </c>
      <c r="E12">
        <v>1</v>
      </c>
      <c r="H12" s="6">
        <v>2.69</v>
      </c>
      <c r="J12">
        <f>tbl_ReceiptLines[[#This Row],[Line_Total]]-tbl_ReceiptLines[[#This Row],[Discount_Info]]</f>
        <v>2.69</v>
      </c>
      <c r="L12" s="6">
        <v>2.69</v>
      </c>
    </row>
    <row r="13" spans="1:12" hidden="1" x14ac:dyDescent="0.3">
      <c r="A13" t="s">
        <v>116</v>
      </c>
      <c r="B13" s="11" t="s">
        <v>117</v>
      </c>
      <c r="C13">
        <v>4</v>
      </c>
      <c r="D13" t="s">
        <v>260</v>
      </c>
      <c r="E13">
        <v>0.40400000000000003</v>
      </c>
      <c r="F13" t="s">
        <v>261</v>
      </c>
      <c r="G13" s="6">
        <v>7.9</v>
      </c>
      <c r="H13" s="6">
        <f>tbl_ReceiptLines[[#This Row],[Quantity]]*tbl_ReceiptLines[[#This Row],[Unit_Price]]</f>
        <v>3.1916000000000002</v>
      </c>
      <c r="J13">
        <f>tbl_ReceiptLines[[#This Row],[Line_Total]]-tbl_ReceiptLines[[#This Row],[Discount_Info]]</f>
        <v>3.1916000000000002</v>
      </c>
      <c r="L13" s="6">
        <f>tbl_ReceiptLines[[#This Row],[Line_Total]]-tbl_ReceiptLines[[#This Row],[Discount_Info]]</f>
        <v>3.1916000000000002</v>
      </c>
    </row>
    <row r="14" spans="1:12" hidden="1" x14ac:dyDescent="0.3">
      <c r="A14" t="s">
        <v>116</v>
      </c>
      <c r="B14" s="11" t="s">
        <v>117</v>
      </c>
      <c r="C14">
        <v>5</v>
      </c>
      <c r="D14" t="s">
        <v>262</v>
      </c>
      <c r="E14">
        <v>1</v>
      </c>
      <c r="H14" s="6">
        <v>0.7</v>
      </c>
      <c r="J14">
        <f>tbl_ReceiptLines[[#This Row],[Line_Total]]-tbl_ReceiptLines[[#This Row],[Discount_Info]]</f>
        <v>0.7</v>
      </c>
      <c r="L14" s="6">
        <f>tbl_ReceiptLines[[#This Row],[Line_Total]]-tbl_ReceiptLines[[#This Row],[Discount_Info]]</f>
        <v>0.7</v>
      </c>
    </row>
    <row r="15" spans="1:12" hidden="1" x14ac:dyDescent="0.3">
      <c r="A15" t="s">
        <v>116</v>
      </c>
      <c r="B15" s="11" t="s">
        <v>117</v>
      </c>
      <c r="C15">
        <v>6</v>
      </c>
      <c r="D15" t="s">
        <v>263</v>
      </c>
      <c r="E15">
        <v>1</v>
      </c>
      <c r="H15" s="6">
        <v>2.12</v>
      </c>
      <c r="J15">
        <f>tbl_ReceiptLines[[#This Row],[Line_Total]]-tbl_ReceiptLines[[#This Row],[Discount_Info]]</f>
        <v>2.12</v>
      </c>
      <c r="L15" s="6">
        <f>tbl_ReceiptLines[[#This Row],[Line_Total]]-tbl_ReceiptLines[[#This Row],[Discount_Info]]</f>
        <v>2.12</v>
      </c>
    </row>
    <row r="16" spans="1:12" hidden="1" x14ac:dyDescent="0.3">
      <c r="A16" t="s">
        <v>116</v>
      </c>
      <c r="B16" s="11" t="s">
        <v>117</v>
      </c>
      <c r="C16">
        <v>7</v>
      </c>
      <c r="D16" t="s">
        <v>264</v>
      </c>
      <c r="E16">
        <v>1</v>
      </c>
      <c r="H16" s="6">
        <v>1.99</v>
      </c>
      <c r="J16">
        <f>tbl_ReceiptLines[[#This Row],[Line_Total]]-tbl_ReceiptLines[[#This Row],[Discount_Info]]</f>
        <v>1.99</v>
      </c>
      <c r="L16" s="6">
        <f>tbl_ReceiptLines[[#This Row],[Line_Total]]-tbl_ReceiptLines[[#This Row],[Discount_Info]]</f>
        <v>1.99</v>
      </c>
    </row>
    <row r="17" spans="1:12" hidden="1" x14ac:dyDescent="0.3">
      <c r="A17" t="s">
        <v>116</v>
      </c>
      <c r="B17" s="11" t="s">
        <v>117</v>
      </c>
      <c r="C17">
        <v>8</v>
      </c>
      <c r="D17" t="s">
        <v>265</v>
      </c>
      <c r="E17">
        <v>1</v>
      </c>
      <c r="H17" s="6">
        <v>1.35</v>
      </c>
      <c r="J17">
        <f>tbl_ReceiptLines[[#This Row],[Line_Total]]-tbl_ReceiptLines[[#This Row],[Discount_Info]]</f>
        <v>1.1500000000000001</v>
      </c>
      <c r="K17" s="6">
        <v>0.2</v>
      </c>
      <c r="L17" s="6">
        <f>tbl_ReceiptLines[[#This Row],[Line_Total]]-tbl_ReceiptLines[[#This Row],[Discount_Info]]</f>
        <v>1.1500000000000001</v>
      </c>
    </row>
    <row r="18" spans="1:12" hidden="1" x14ac:dyDescent="0.3">
      <c r="A18" t="s">
        <v>116</v>
      </c>
      <c r="B18" s="11" t="s">
        <v>117</v>
      </c>
      <c r="C18">
        <v>9</v>
      </c>
      <c r="D18" t="s">
        <v>266</v>
      </c>
      <c r="E18">
        <v>1</v>
      </c>
      <c r="H18" s="6">
        <v>2.15</v>
      </c>
      <c r="J18">
        <f>tbl_ReceiptLines[[#This Row],[Line_Total]]-tbl_ReceiptLines[[#This Row],[Discount_Info]]</f>
        <v>1.6099999999999999</v>
      </c>
      <c r="K18" s="6">
        <v>0.54</v>
      </c>
      <c r="L18" s="6">
        <f>tbl_ReceiptLines[[#This Row],[Line_Total]]-tbl_ReceiptLines[[#This Row],[Discount_Info]]</f>
        <v>1.6099999999999999</v>
      </c>
    </row>
    <row r="19" spans="1:12" hidden="1" x14ac:dyDescent="0.3">
      <c r="A19" t="s">
        <v>116</v>
      </c>
      <c r="B19" s="11" t="s">
        <v>117</v>
      </c>
      <c r="C19">
        <v>10</v>
      </c>
      <c r="D19" t="s">
        <v>267</v>
      </c>
      <c r="E19">
        <v>1</v>
      </c>
      <c r="H19" s="6">
        <v>1.59</v>
      </c>
      <c r="J19">
        <f>tbl_ReceiptLines[[#This Row],[Line_Total]]-tbl_ReceiptLines[[#This Row],[Discount_Info]]</f>
        <v>1.59</v>
      </c>
      <c r="L19" s="6">
        <f>tbl_ReceiptLines[[#This Row],[Line_Total]]-tbl_ReceiptLines[[#This Row],[Discount_Info]]</f>
        <v>1.59</v>
      </c>
    </row>
    <row r="20" spans="1:12" hidden="1" x14ac:dyDescent="0.3">
      <c r="A20" t="s">
        <v>116</v>
      </c>
      <c r="B20" s="11" t="s">
        <v>117</v>
      </c>
      <c r="C20">
        <v>11</v>
      </c>
      <c r="D20" t="s">
        <v>268</v>
      </c>
      <c r="E20">
        <v>1</v>
      </c>
      <c r="H20" s="6">
        <v>1.99</v>
      </c>
      <c r="J20">
        <f>tbl_ReceiptLines[[#This Row],[Line_Total]]-tbl_ReceiptLines[[#This Row],[Discount_Info]]</f>
        <v>1.99</v>
      </c>
      <c r="L20" s="6">
        <f>tbl_ReceiptLines[[#This Row],[Line_Total]]-tbl_ReceiptLines[[#This Row],[Discount_Info]]</f>
        <v>1.99</v>
      </c>
    </row>
    <row r="21" spans="1:12" hidden="1" x14ac:dyDescent="0.3">
      <c r="A21" t="s">
        <v>116</v>
      </c>
      <c r="B21" s="11" t="s">
        <v>117</v>
      </c>
      <c r="C21">
        <v>12</v>
      </c>
      <c r="D21" t="s">
        <v>269</v>
      </c>
      <c r="E21">
        <v>1</v>
      </c>
      <c r="H21" s="6">
        <v>1.65</v>
      </c>
      <c r="J21">
        <f>tbl_ReceiptLines[[#This Row],[Line_Total]]-tbl_ReceiptLines[[#This Row],[Discount_Info]]</f>
        <v>1.65</v>
      </c>
      <c r="L21" s="6">
        <f>tbl_ReceiptLines[[#This Row],[Line_Total]]-tbl_ReceiptLines[[#This Row],[Discount_Info]]</f>
        <v>1.65</v>
      </c>
    </row>
    <row r="22" spans="1:12" hidden="1" x14ac:dyDescent="0.3">
      <c r="A22" t="s">
        <v>116</v>
      </c>
      <c r="B22" s="11" t="s">
        <v>117</v>
      </c>
      <c r="C22">
        <v>13</v>
      </c>
      <c r="D22" t="s">
        <v>269</v>
      </c>
      <c r="E22">
        <v>2</v>
      </c>
      <c r="G22" s="6">
        <v>0.59</v>
      </c>
      <c r="H22" s="6">
        <f>tbl_ReceiptLines[[#This Row],[Quantity]]*tbl_ReceiptLines[[#This Row],[Unit_Price]]</f>
        <v>1.18</v>
      </c>
      <c r="J22">
        <f>tbl_ReceiptLines[[#This Row],[Line_Total]]-tbl_ReceiptLines[[#This Row],[Discount_Info]]</f>
        <v>1.18</v>
      </c>
      <c r="L22" s="6">
        <f>tbl_ReceiptLines[[#This Row],[Line_Total]]-tbl_ReceiptLines[[#This Row],[Discount_Info]]</f>
        <v>1.18</v>
      </c>
    </row>
    <row r="23" spans="1:12" hidden="1" x14ac:dyDescent="0.3">
      <c r="A23" t="s">
        <v>116</v>
      </c>
      <c r="B23" s="11" t="s">
        <v>117</v>
      </c>
      <c r="C23">
        <v>14</v>
      </c>
      <c r="D23" t="s">
        <v>269</v>
      </c>
      <c r="E23">
        <v>1</v>
      </c>
      <c r="H23" s="6">
        <v>0.69</v>
      </c>
      <c r="J23">
        <f>tbl_ReceiptLines[[#This Row],[Line_Total]]-tbl_ReceiptLines[[#This Row],[Discount_Info]]</f>
        <v>0.69</v>
      </c>
      <c r="L23" s="6">
        <f>tbl_ReceiptLines[[#This Row],[Line_Total]]-tbl_ReceiptLines[[#This Row],[Discount_Info]]</f>
        <v>0.69</v>
      </c>
    </row>
    <row r="24" spans="1:12" hidden="1" x14ac:dyDescent="0.3">
      <c r="A24" t="s">
        <v>116</v>
      </c>
      <c r="B24" s="11" t="s">
        <v>117</v>
      </c>
      <c r="C24">
        <v>15</v>
      </c>
      <c r="D24" t="s">
        <v>270</v>
      </c>
      <c r="E24">
        <v>1</v>
      </c>
      <c r="H24" s="6">
        <v>2.69</v>
      </c>
      <c r="J24">
        <f>tbl_ReceiptLines[[#This Row],[Line_Total]]-tbl_ReceiptLines[[#This Row],[Discount_Info]]</f>
        <v>2.69</v>
      </c>
      <c r="L24" s="6">
        <f>tbl_ReceiptLines[[#This Row],[Line_Total]]-tbl_ReceiptLines[[#This Row],[Discount_Info]]</f>
        <v>2.69</v>
      </c>
    </row>
    <row r="25" spans="1:12" hidden="1" x14ac:dyDescent="0.3">
      <c r="A25" t="s">
        <v>116</v>
      </c>
      <c r="B25" s="11" t="s">
        <v>117</v>
      </c>
      <c r="C25">
        <v>16</v>
      </c>
      <c r="D25" t="s">
        <v>271</v>
      </c>
      <c r="E25">
        <v>1</v>
      </c>
      <c r="H25" s="6">
        <v>1.29</v>
      </c>
      <c r="J25">
        <f>tbl_ReceiptLines[[#This Row],[Line_Total]]-tbl_ReceiptLines[[#This Row],[Discount_Info]]</f>
        <v>1.29</v>
      </c>
      <c r="L25" s="6">
        <f>tbl_ReceiptLines[[#This Row],[Line_Total]]-tbl_ReceiptLines[[#This Row],[Discount_Info]]</f>
        <v>1.29</v>
      </c>
    </row>
    <row r="26" spans="1:12" hidden="1" x14ac:dyDescent="0.3">
      <c r="A26" t="s">
        <v>116</v>
      </c>
      <c r="B26" s="11" t="s">
        <v>117</v>
      </c>
      <c r="C26">
        <v>17</v>
      </c>
      <c r="D26" t="s">
        <v>272</v>
      </c>
      <c r="E26">
        <v>1</v>
      </c>
      <c r="H26" s="6">
        <v>1.19</v>
      </c>
      <c r="J26">
        <f>tbl_ReceiptLines[[#This Row],[Line_Total]]-tbl_ReceiptLines[[#This Row],[Discount_Info]]</f>
        <v>1.19</v>
      </c>
      <c r="L26" s="6">
        <f>tbl_ReceiptLines[[#This Row],[Line_Total]]-tbl_ReceiptLines[[#This Row],[Discount_Info]]</f>
        <v>1.19</v>
      </c>
    </row>
    <row r="27" spans="1:12" hidden="1" x14ac:dyDescent="0.3">
      <c r="A27" t="s">
        <v>116</v>
      </c>
      <c r="B27" s="11" t="s">
        <v>117</v>
      </c>
      <c r="C27">
        <v>18</v>
      </c>
      <c r="D27" t="s">
        <v>273</v>
      </c>
      <c r="E27">
        <v>2</v>
      </c>
      <c r="G27" s="6">
        <v>0.69</v>
      </c>
      <c r="H27" s="6">
        <f>tbl_ReceiptLines[[#This Row],[Quantity]]*tbl_ReceiptLines[[#This Row],[Unit_Price]]</f>
        <v>1.38</v>
      </c>
      <c r="J27">
        <f>tbl_ReceiptLines[[#This Row],[Line_Total]]-tbl_ReceiptLines[[#This Row],[Discount_Info]]</f>
        <v>1.38</v>
      </c>
      <c r="L27" s="6">
        <f>tbl_ReceiptLines[[#This Row],[Line_Total]]-tbl_ReceiptLines[[#This Row],[Discount_Info]]</f>
        <v>1.38</v>
      </c>
    </row>
    <row r="28" spans="1:12" hidden="1" x14ac:dyDescent="0.3">
      <c r="A28" t="s">
        <v>116</v>
      </c>
      <c r="B28" s="11" t="s">
        <v>117</v>
      </c>
      <c r="C28">
        <v>19</v>
      </c>
      <c r="D28" t="s">
        <v>274</v>
      </c>
      <c r="E28">
        <v>3</v>
      </c>
      <c r="G28" s="6">
        <v>0.39</v>
      </c>
      <c r="H28" s="6">
        <f>tbl_ReceiptLines[[#This Row],[Quantity]]*tbl_ReceiptLines[[#This Row],[Unit_Price]]</f>
        <v>1.17</v>
      </c>
      <c r="J28">
        <f>tbl_ReceiptLines[[#This Row],[Line_Total]]-tbl_ReceiptLines[[#This Row],[Discount_Info]]</f>
        <v>0.62999999999999989</v>
      </c>
      <c r="K28" s="6">
        <v>0.54</v>
      </c>
      <c r="L28" s="6">
        <f>tbl_ReceiptLines[[#This Row],[Line_Total]]-tbl_ReceiptLines[[#This Row],[Discount_Info]]</f>
        <v>0.62999999999999989</v>
      </c>
    </row>
    <row r="29" spans="1:12" hidden="1" x14ac:dyDescent="0.3">
      <c r="A29" t="s">
        <v>116</v>
      </c>
      <c r="B29" s="11" t="s">
        <v>117</v>
      </c>
      <c r="C29">
        <v>20</v>
      </c>
      <c r="D29" t="s">
        <v>273</v>
      </c>
      <c r="E29">
        <v>1</v>
      </c>
      <c r="G29" s="6">
        <v>0.69</v>
      </c>
      <c r="H29" s="6">
        <f>tbl_ReceiptLines[[#This Row],[Quantity]]*tbl_ReceiptLines[[#This Row],[Unit_Price]]</f>
        <v>0.69</v>
      </c>
      <c r="J29">
        <f>tbl_ReceiptLines[[#This Row],[Line_Total]]-tbl_ReceiptLines[[#This Row],[Discount_Info]]</f>
        <v>0.69</v>
      </c>
      <c r="L29" s="6">
        <f>tbl_ReceiptLines[[#This Row],[Line_Total]]-tbl_ReceiptLines[[#This Row],[Discount_Info]]</f>
        <v>0.69</v>
      </c>
    </row>
    <row r="30" spans="1:12" hidden="1" x14ac:dyDescent="0.3">
      <c r="A30" t="s">
        <v>116</v>
      </c>
      <c r="B30" s="11" t="s">
        <v>117</v>
      </c>
      <c r="C30">
        <v>21</v>
      </c>
      <c r="D30" t="s">
        <v>275</v>
      </c>
      <c r="E30">
        <v>2</v>
      </c>
      <c r="G30" s="6">
        <v>4.6900000000000004</v>
      </c>
      <c r="H30" s="6">
        <f>tbl_ReceiptLines[[#This Row],[Quantity]]*tbl_ReceiptLines[[#This Row],[Unit_Price]]</f>
        <v>9.3800000000000008</v>
      </c>
      <c r="J30">
        <f>tbl_ReceiptLines[[#This Row],[Line_Total]]-tbl_ReceiptLines[[#This Row],[Discount_Info]]</f>
        <v>9.3800000000000008</v>
      </c>
      <c r="L30" s="6">
        <f>tbl_ReceiptLines[[#This Row],[Line_Total]]-tbl_ReceiptLines[[#This Row],[Discount_Info]]</f>
        <v>9.3800000000000008</v>
      </c>
    </row>
    <row r="31" spans="1:12" hidden="1" x14ac:dyDescent="0.3">
      <c r="A31" t="s">
        <v>116</v>
      </c>
      <c r="B31" s="11" t="s">
        <v>117</v>
      </c>
      <c r="C31">
        <v>22</v>
      </c>
      <c r="D31" t="s">
        <v>276</v>
      </c>
      <c r="E31">
        <v>1</v>
      </c>
      <c r="H31" s="6">
        <v>0.99</v>
      </c>
      <c r="J31">
        <f>tbl_ReceiptLines[[#This Row],[Line_Total]]-tbl_ReceiptLines[[#This Row],[Discount_Info]]</f>
        <v>0.99</v>
      </c>
      <c r="L31" s="6">
        <f>tbl_ReceiptLines[[#This Row],[Line_Total]]-tbl_ReceiptLines[[#This Row],[Discount_Info]]</f>
        <v>0.99</v>
      </c>
    </row>
    <row r="32" spans="1:12" hidden="1" x14ac:dyDescent="0.3">
      <c r="A32" t="s">
        <v>116</v>
      </c>
      <c r="B32" s="11" t="s">
        <v>117</v>
      </c>
      <c r="C32">
        <v>23</v>
      </c>
      <c r="D32" t="s">
        <v>256</v>
      </c>
      <c r="E32">
        <v>82</v>
      </c>
      <c r="G32" s="6">
        <v>0.1</v>
      </c>
      <c r="H32" s="6">
        <f>tbl_ReceiptLines[[#This Row],[Quantity]]*tbl_ReceiptLines[[#This Row],[Unit_Price]]</f>
        <v>8.2000000000000011</v>
      </c>
      <c r="J32">
        <f>tbl_ReceiptLines[[#This Row],[Line_Total]]-tbl_ReceiptLines[[#This Row],[Discount_Info]]</f>
        <v>8.2000000000000011</v>
      </c>
      <c r="L32" s="6">
        <f>tbl_ReceiptLines[[#This Row],[Line_Total]]-tbl_ReceiptLines[[#This Row],[Discount_Info]]</f>
        <v>8.2000000000000011</v>
      </c>
    </row>
    <row r="33" spans="1:12" hidden="1" x14ac:dyDescent="0.3">
      <c r="A33" t="s">
        <v>121</v>
      </c>
      <c r="B33" s="11" t="s">
        <v>122</v>
      </c>
      <c r="C33">
        <v>1</v>
      </c>
      <c r="D33" t="s">
        <v>277</v>
      </c>
      <c r="E33">
        <v>1</v>
      </c>
      <c r="F33" t="s">
        <v>278</v>
      </c>
      <c r="G33" s="6">
        <v>2.99</v>
      </c>
      <c r="H33" s="6">
        <v>2.99</v>
      </c>
      <c r="I33" t="s">
        <v>279</v>
      </c>
      <c r="J33">
        <f>tbl_ReceiptLines[[#This Row],[Line_Total]]-tbl_ReceiptLines[[#This Row],[Discount_Info]]</f>
        <v>2.99</v>
      </c>
      <c r="L33" s="6">
        <f>tbl_ReceiptLines[[#This Row],[Line_Total]]-tbl_ReceiptLines[[#This Row],[Discount_Info]]</f>
        <v>2.99</v>
      </c>
    </row>
    <row r="34" spans="1:12" hidden="1" x14ac:dyDescent="0.3">
      <c r="A34" t="s">
        <v>121</v>
      </c>
      <c r="B34" s="11" t="s">
        <v>122</v>
      </c>
      <c r="C34">
        <v>2</v>
      </c>
      <c r="D34" t="s">
        <v>280</v>
      </c>
      <c r="E34">
        <v>1</v>
      </c>
      <c r="F34" t="s">
        <v>281</v>
      </c>
      <c r="G34" s="6">
        <v>9.99</v>
      </c>
      <c r="H34" s="6">
        <v>9.99</v>
      </c>
      <c r="I34" t="s">
        <v>282</v>
      </c>
      <c r="J34">
        <f>tbl_ReceiptLines[[#This Row],[Line_Total]]-tbl_ReceiptLines[[#This Row],[Discount_Info]]</f>
        <v>9.99</v>
      </c>
      <c r="L34" s="6">
        <f>tbl_ReceiptLines[[#This Row],[Line_Total]]-tbl_ReceiptLines[[#This Row],[Discount_Info]]</f>
        <v>9.99</v>
      </c>
    </row>
    <row r="35" spans="1:12" hidden="1" x14ac:dyDescent="0.3">
      <c r="A35" t="s">
        <v>121</v>
      </c>
      <c r="B35" s="11" t="s">
        <v>122</v>
      </c>
      <c r="C35">
        <v>3</v>
      </c>
      <c r="D35" t="s">
        <v>283</v>
      </c>
      <c r="E35">
        <v>1</v>
      </c>
      <c r="G35" s="6">
        <v>4.99</v>
      </c>
      <c r="H35" s="6">
        <v>4.99</v>
      </c>
      <c r="I35" t="s">
        <v>284</v>
      </c>
      <c r="J35">
        <f>tbl_ReceiptLines[[#This Row],[Line_Total]]-tbl_ReceiptLines[[#This Row],[Discount_Info]]</f>
        <v>4.99</v>
      </c>
      <c r="L35" s="6">
        <f>tbl_ReceiptLines[[#This Row],[Line_Total]]-tbl_ReceiptLines[[#This Row],[Discount_Info]]</f>
        <v>4.99</v>
      </c>
    </row>
    <row r="36" spans="1:12" hidden="1" x14ac:dyDescent="0.3">
      <c r="A36" t="s">
        <v>126</v>
      </c>
      <c r="B36" s="11" t="s">
        <v>127</v>
      </c>
      <c r="C36">
        <v>1</v>
      </c>
      <c r="D36" t="s">
        <v>285</v>
      </c>
      <c r="E36">
        <v>1</v>
      </c>
      <c r="G36" s="6">
        <v>23.19</v>
      </c>
      <c r="H36" s="6">
        <v>23.19</v>
      </c>
      <c r="I36" t="s">
        <v>286</v>
      </c>
      <c r="J36">
        <f>tbl_ReceiptLines[[#This Row],[Line_Total]]-tbl_ReceiptLines[[#This Row],[Discount_Info]]</f>
        <v>23.19</v>
      </c>
      <c r="L36" s="6">
        <f>tbl_ReceiptLines[[#This Row],[Line_Total]]-tbl_ReceiptLines[[#This Row],[Discount_Info]]</f>
        <v>23.19</v>
      </c>
    </row>
    <row r="37" spans="1:12" hidden="1" x14ac:dyDescent="0.3">
      <c r="A37" t="s">
        <v>130</v>
      </c>
      <c r="B37" s="11" t="s">
        <v>131</v>
      </c>
      <c r="C37">
        <v>1</v>
      </c>
      <c r="D37" t="s">
        <v>287</v>
      </c>
      <c r="E37">
        <v>7</v>
      </c>
      <c r="F37" t="s">
        <v>288</v>
      </c>
      <c r="G37" s="6">
        <v>38</v>
      </c>
      <c r="H37" s="6">
        <f>tbl_ReceiptLines[[#This Row],[Unit_Price]]*tbl_ReceiptLines[[#This Row],[Quantity]]</f>
        <v>266</v>
      </c>
      <c r="I37" t="s">
        <v>289</v>
      </c>
      <c r="J37">
        <f>tbl_ReceiptLines[[#This Row],[Line_Total]]-tbl_ReceiptLines[[#This Row],[Discount_Info]]</f>
        <v>266</v>
      </c>
      <c r="L37" s="6">
        <f>tbl_ReceiptLines[[#This Row],[Line_Total]]-tbl_ReceiptLines[[#This Row],[Discount_Info]]</f>
        <v>266</v>
      </c>
    </row>
    <row r="38" spans="1:12" hidden="1" x14ac:dyDescent="0.3">
      <c r="A38" t="s">
        <v>130</v>
      </c>
      <c r="B38" s="11" t="s">
        <v>131</v>
      </c>
      <c r="C38">
        <v>2</v>
      </c>
      <c r="D38" t="s">
        <v>290</v>
      </c>
      <c r="E38">
        <v>1</v>
      </c>
      <c r="H38" s="6">
        <v>22.5</v>
      </c>
      <c r="J38">
        <f>tbl_ReceiptLines[[#This Row],[Line_Total]]-tbl_ReceiptLines[[#This Row],[Discount_Info]]</f>
        <v>22.5</v>
      </c>
      <c r="L38" s="6">
        <f>tbl_ReceiptLines[[#This Row],[Line_Total]]-tbl_ReceiptLines[[#This Row],[Discount_Info]]</f>
        <v>22.5</v>
      </c>
    </row>
    <row r="39" spans="1:12" hidden="1" x14ac:dyDescent="0.3">
      <c r="A39" t="s">
        <v>136</v>
      </c>
      <c r="B39" s="11" t="s">
        <v>137</v>
      </c>
      <c r="C39">
        <v>1</v>
      </c>
      <c r="D39" t="s">
        <v>291</v>
      </c>
      <c r="E39">
        <v>1</v>
      </c>
      <c r="G39" s="6">
        <v>19.989999999999998</v>
      </c>
      <c r="H39" s="6">
        <v>19.989999999999998</v>
      </c>
      <c r="I39" t="s">
        <v>292</v>
      </c>
      <c r="J39">
        <f>tbl_ReceiptLines[[#This Row],[Line_Total]]-tbl_ReceiptLines[[#This Row],[Discount_Info]]</f>
        <v>19.989999999999998</v>
      </c>
      <c r="L39" s="6">
        <f>tbl_ReceiptLines[[#This Row],[Line_Total]]-tbl_ReceiptLines[[#This Row],[Discount_Info]]</f>
        <v>19.989999999999998</v>
      </c>
    </row>
    <row r="40" spans="1:12" hidden="1" x14ac:dyDescent="0.3">
      <c r="A40" t="s">
        <v>136</v>
      </c>
      <c r="B40" s="11" t="s">
        <v>137</v>
      </c>
      <c r="C40">
        <v>2</v>
      </c>
      <c r="D40" t="s">
        <v>293</v>
      </c>
      <c r="E40">
        <v>1</v>
      </c>
      <c r="G40" s="6">
        <v>9.99</v>
      </c>
      <c r="H40" s="6">
        <v>9.99</v>
      </c>
      <c r="I40" t="s">
        <v>294</v>
      </c>
      <c r="J40">
        <f>tbl_ReceiptLines[[#This Row],[Line_Total]]-tbl_ReceiptLines[[#This Row],[Discount_Info]]</f>
        <v>9.99</v>
      </c>
      <c r="L40" s="6">
        <f>tbl_ReceiptLines[[#This Row],[Line_Total]]-tbl_ReceiptLines[[#This Row],[Discount_Info]]</f>
        <v>9.99</v>
      </c>
    </row>
    <row r="41" spans="1:12" hidden="1" x14ac:dyDescent="0.3">
      <c r="A41" t="s">
        <v>136</v>
      </c>
      <c r="B41" s="11" t="s">
        <v>137</v>
      </c>
      <c r="C41">
        <v>3</v>
      </c>
      <c r="D41" t="s">
        <v>295</v>
      </c>
      <c r="E41">
        <v>1</v>
      </c>
      <c r="G41" s="6">
        <v>23.99</v>
      </c>
      <c r="H41" s="6">
        <v>23.99</v>
      </c>
      <c r="I41" t="s">
        <v>296</v>
      </c>
      <c r="J41">
        <f>tbl_ReceiptLines[[#This Row],[Line_Total]]-tbl_ReceiptLines[[#This Row],[Discount_Info]]</f>
        <v>23.99</v>
      </c>
      <c r="L41" s="6">
        <f>tbl_ReceiptLines[[#This Row],[Line_Total]]-tbl_ReceiptLines[[#This Row],[Discount_Info]]</f>
        <v>23.99</v>
      </c>
    </row>
    <row r="42" spans="1:12" hidden="1" x14ac:dyDescent="0.3">
      <c r="A42" t="s">
        <v>136</v>
      </c>
      <c r="B42" s="11" t="s">
        <v>137</v>
      </c>
      <c r="C42">
        <v>4</v>
      </c>
      <c r="D42" t="s">
        <v>297</v>
      </c>
      <c r="E42">
        <v>1</v>
      </c>
      <c r="G42" s="6">
        <v>24.99</v>
      </c>
      <c r="H42" s="6">
        <v>24.99</v>
      </c>
      <c r="I42" t="s">
        <v>298</v>
      </c>
      <c r="J42">
        <f>tbl_ReceiptLines[[#This Row],[Line_Total]]-tbl_ReceiptLines[[#This Row],[Discount_Info]]</f>
        <v>24.99</v>
      </c>
      <c r="L42" s="6">
        <f>tbl_ReceiptLines[[#This Row],[Line_Total]]-tbl_ReceiptLines[[#This Row],[Discount_Info]]</f>
        <v>24.99</v>
      </c>
    </row>
    <row r="43" spans="1:12" hidden="1" x14ac:dyDescent="0.3">
      <c r="A43" t="s">
        <v>136</v>
      </c>
      <c r="B43" s="11" t="s">
        <v>137</v>
      </c>
      <c r="C43">
        <v>5</v>
      </c>
      <c r="D43" t="s">
        <v>299</v>
      </c>
      <c r="E43">
        <v>1</v>
      </c>
      <c r="H43" s="6">
        <v>4.99</v>
      </c>
      <c r="J43">
        <f>tbl_ReceiptLines[[#This Row],[Line_Total]]-tbl_ReceiptLines[[#This Row],[Discount_Info]]</f>
        <v>4.99</v>
      </c>
      <c r="L43" s="6">
        <f>tbl_ReceiptLines[[#This Row],[Line_Total]]-tbl_ReceiptLines[[#This Row],[Discount_Info]]</f>
        <v>4.99</v>
      </c>
    </row>
    <row r="44" spans="1:12" hidden="1" x14ac:dyDescent="0.3">
      <c r="A44" t="s">
        <v>13</v>
      </c>
      <c r="B44" s="11" t="s">
        <v>11</v>
      </c>
      <c r="C44">
        <v>1</v>
      </c>
      <c r="D44" t="s">
        <v>300</v>
      </c>
      <c r="E44">
        <v>1</v>
      </c>
      <c r="F44" t="s">
        <v>301</v>
      </c>
      <c r="G44" s="6">
        <f>tbl_ReceiptLines[[#This Row],[Line_Total]]/tbl_ReceiptLines[[#This Row],[Quantity]]</f>
        <v>4.99</v>
      </c>
      <c r="H44" s="6">
        <v>4.99</v>
      </c>
      <c r="J44">
        <f>tbl_ReceiptLines[[#This Row],[Line_Total]]-tbl_ReceiptLines[[#This Row],[Discount_Info]]</f>
        <v>0</v>
      </c>
      <c r="K44" s="6">
        <v>4.99</v>
      </c>
      <c r="L44" s="6">
        <f>tbl_ReceiptLines[[#This Row],[Line_Total]]-tbl_ReceiptLines[[#This Row],[Discount_Info]]</f>
        <v>0</v>
      </c>
    </row>
    <row r="45" spans="1:12" hidden="1" x14ac:dyDescent="0.3">
      <c r="A45" t="s">
        <v>13</v>
      </c>
      <c r="B45" s="11" t="s">
        <v>11</v>
      </c>
      <c r="C45">
        <v>2</v>
      </c>
      <c r="D45" t="s">
        <v>302</v>
      </c>
      <c r="E45">
        <v>2</v>
      </c>
      <c r="F45" t="s">
        <v>301</v>
      </c>
      <c r="G45" s="6">
        <f>tbl_ReceiptLines[[#This Row],[Line_Total]]/tbl_ReceiptLines[[#This Row],[Quantity]]</f>
        <v>5.49</v>
      </c>
      <c r="H45" s="6">
        <v>10.98</v>
      </c>
      <c r="J45">
        <f>tbl_ReceiptLines[[#This Row],[Line_Total]]-tbl_ReceiptLines[[#This Row],[Discount_Info]]</f>
        <v>8.98</v>
      </c>
      <c r="K45" s="6">
        <v>2</v>
      </c>
      <c r="L45" s="6">
        <f>tbl_ReceiptLines[[#This Row],[Line_Total]]-tbl_ReceiptLines[[#This Row],[Discount_Info]]</f>
        <v>8.98</v>
      </c>
    </row>
    <row r="46" spans="1:12" hidden="1" x14ac:dyDescent="0.3">
      <c r="A46" t="s">
        <v>13</v>
      </c>
      <c r="B46" s="11" t="s">
        <v>11</v>
      </c>
      <c r="C46">
        <v>3</v>
      </c>
      <c r="D46" t="s">
        <v>258</v>
      </c>
      <c r="E46">
        <v>1</v>
      </c>
      <c r="F46" t="s">
        <v>303</v>
      </c>
      <c r="G46" s="6">
        <f>tbl_ReceiptLines[[#This Row],[Line_Total]]/tbl_ReceiptLines[[#This Row],[Quantity]]</f>
        <v>0.89</v>
      </c>
      <c r="H46" s="6">
        <v>0.89</v>
      </c>
      <c r="J46">
        <f>tbl_ReceiptLines[[#This Row],[Line_Total]]-tbl_ReceiptLines[[#This Row],[Discount_Info]]</f>
        <v>0.89</v>
      </c>
      <c r="L46" s="6">
        <f>tbl_ReceiptLines[[#This Row],[Line_Total]]-tbl_ReceiptLines[[#This Row],[Discount_Info]]</f>
        <v>0.89</v>
      </c>
    </row>
    <row r="47" spans="1:12" hidden="1" x14ac:dyDescent="0.3">
      <c r="A47" t="s">
        <v>13</v>
      </c>
      <c r="B47" s="11" t="s">
        <v>11</v>
      </c>
      <c r="C47">
        <v>4</v>
      </c>
      <c r="D47" t="s">
        <v>304</v>
      </c>
      <c r="E47">
        <v>1</v>
      </c>
      <c r="F47" t="s">
        <v>305</v>
      </c>
      <c r="G47" s="6">
        <f>tbl_ReceiptLines[[#This Row],[Line_Total]]/tbl_ReceiptLines[[#This Row],[Quantity]]</f>
        <v>0.99</v>
      </c>
      <c r="H47" s="6">
        <v>0.99</v>
      </c>
      <c r="J47">
        <f>tbl_ReceiptLines[[#This Row],[Line_Total]]-tbl_ReceiptLines[[#This Row],[Discount_Info]]</f>
        <v>0.99</v>
      </c>
      <c r="L47" s="6">
        <f>tbl_ReceiptLines[[#This Row],[Line_Total]]-tbl_ReceiptLines[[#This Row],[Discount_Info]]</f>
        <v>0.99</v>
      </c>
    </row>
    <row r="48" spans="1:12" hidden="1" x14ac:dyDescent="0.3">
      <c r="A48" t="s">
        <v>13</v>
      </c>
      <c r="B48" s="11" t="s">
        <v>11</v>
      </c>
      <c r="C48">
        <v>5</v>
      </c>
      <c r="D48" t="s">
        <v>306</v>
      </c>
      <c r="E48">
        <v>1</v>
      </c>
      <c r="F48" t="s">
        <v>307</v>
      </c>
      <c r="G48" s="6">
        <f>tbl_ReceiptLines[[#This Row],[Line_Total]]/tbl_ReceiptLines[[#This Row],[Quantity]]</f>
        <v>1.99</v>
      </c>
      <c r="H48" s="6">
        <v>1.99</v>
      </c>
      <c r="J48">
        <f>tbl_ReceiptLines[[#This Row],[Line_Total]]-tbl_ReceiptLines[[#This Row],[Discount_Info]]</f>
        <v>1.99</v>
      </c>
      <c r="L48" s="6">
        <f>tbl_ReceiptLines[[#This Row],[Line_Total]]-tbl_ReceiptLines[[#This Row],[Discount_Info]]</f>
        <v>1.99</v>
      </c>
    </row>
    <row r="49" spans="1:12" hidden="1" x14ac:dyDescent="0.3">
      <c r="A49" t="s">
        <v>13</v>
      </c>
      <c r="B49" s="11" t="s">
        <v>11</v>
      </c>
      <c r="C49">
        <v>6</v>
      </c>
      <c r="D49" t="s">
        <v>308</v>
      </c>
      <c r="E49">
        <v>1</v>
      </c>
      <c r="F49" t="s">
        <v>309</v>
      </c>
      <c r="G49" s="6">
        <f>tbl_ReceiptLines[[#This Row],[Line_Total]]/tbl_ReceiptLines[[#This Row],[Quantity]]</f>
        <v>2.89</v>
      </c>
      <c r="H49" s="6">
        <v>2.89</v>
      </c>
      <c r="J49">
        <f>tbl_ReceiptLines[[#This Row],[Line_Total]]-tbl_ReceiptLines[[#This Row],[Discount_Info]]</f>
        <v>2.89</v>
      </c>
      <c r="L49" s="6">
        <f>tbl_ReceiptLines[[#This Row],[Line_Total]]-tbl_ReceiptLines[[#This Row],[Discount_Info]]</f>
        <v>2.89</v>
      </c>
    </row>
    <row r="50" spans="1:12" hidden="1" x14ac:dyDescent="0.3">
      <c r="A50" t="s">
        <v>13</v>
      </c>
      <c r="B50" s="11" t="s">
        <v>11</v>
      </c>
      <c r="C50">
        <v>7</v>
      </c>
      <c r="D50" t="s">
        <v>310</v>
      </c>
      <c r="E50">
        <v>1</v>
      </c>
      <c r="F50" t="s">
        <v>311</v>
      </c>
      <c r="G50" s="6">
        <f>tbl_ReceiptLines[[#This Row],[Line_Total]]/tbl_ReceiptLines[[#This Row],[Quantity]]</f>
        <v>1.29</v>
      </c>
      <c r="H50" s="6">
        <v>1.29</v>
      </c>
      <c r="J50">
        <f>tbl_ReceiptLines[[#This Row],[Line_Total]]-tbl_ReceiptLines[[#This Row],[Discount_Info]]</f>
        <v>1.29</v>
      </c>
      <c r="L50" s="6">
        <f>tbl_ReceiptLines[[#This Row],[Line_Total]]-tbl_ReceiptLines[[#This Row],[Discount_Info]]</f>
        <v>1.29</v>
      </c>
    </row>
    <row r="51" spans="1:12" hidden="1" x14ac:dyDescent="0.3">
      <c r="A51" t="s">
        <v>13</v>
      </c>
      <c r="B51" s="11" t="s">
        <v>11</v>
      </c>
      <c r="C51">
        <v>8</v>
      </c>
      <c r="D51" t="s">
        <v>312</v>
      </c>
      <c r="E51">
        <v>1</v>
      </c>
      <c r="F51" t="s">
        <v>313</v>
      </c>
      <c r="G51" s="6">
        <f>tbl_ReceiptLines[[#This Row],[Line_Total]]/tbl_ReceiptLines[[#This Row],[Quantity]]</f>
        <v>1.89</v>
      </c>
      <c r="H51" s="6">
        <v>1.89</v>
      </c>
      <c r="J51">
        <f>tbl_ReceiptLines[[#This Row],[Line_Total]]-tbl_ReceiptLines[[#This Row],[Discount_Info]]</f>
        <v>1.89</v>
      </c>
      <c r="L51" s="6">
        <f>tbl_ReceiptLines[[#This Row],[Line_Total]]-tbl_ReceiptLines[[#This Row],[Discount_Info]]</f>
        <v>1.89</v>
      </c>
    </row>
    <row r="52" spans="1:12" hidden="1" x14ac:dyDescent="0.3">
      <c r="A52" t="s">
        <v>13</v>
      </c>
      <c r="B52" s="11" t="s">
        <v>11</v>
      </c>
      <c r="C52">
        <v>9</v>
      </c>
      <c r="D52" t="s">
        <v>314</v>
      </c>
      <c r="E52">
        <v>1</v>
      </c>
      <c r="F52" t="s">
        <v>315</v>
      </c>
      <c r="G52" s="6">
        <f>tbl_ReceiptLines[[#This Row],[Line_Total]]/tbl_ReceiptLines[[#This Row],[Quantity]]</f>
        <v>3.69</v>
      </c>
      <c r="H52" s="6">
        <v>3.69</v>
      </c>
      <c r="J52">
        <f>tbl_ReceiptLines[[#This Row],[Line_Total]]-tbl_ReceiptLines[[#This Row],[Discount_Info]]</f>
        <v>3.69</v>
      </c>
      <c r="L52" s="6">
        <f>tbl_ReceiptLines[[#This Row],[Line_Total]]-tbl_ReceiptLines[[#This Row],[Discount_Info]]</f>
        <v>3.69</v>
      </c>
    </row>
    <row r="53" spans="1:12" hidden="1" x14ac:dyDescent="0.3">
      <c r="A53" t="s">
        <v>13</v>
      </c>
      <c r="B53" s="11" t="s">
        <v>11</v>
      </c>
      <c r="C53">
        <v>10</v>
      </c>
      <c r="D53" t="s">
        <v>316</v>
      </c>
      <c r="E53">
        <v>1</v>
      </c>
      <c r="F53" t="s">
        <v>317</v>
      </c>
      <c r="G53" s="6">
        <f>tbl_ReceiptLines[[#This Row],[Line_Total]]/tbl_ReceiptLines[[#This Row],[Quantity]]</f>
        <v>2.39</v>
      </c>
      <c r="H53" s="6">
        <v>2.39</v>
      </c>
      <c r="J53">
        <f>tbl_ReceiptLines[[#This Row],[Line_Total]]-tbl_ReceiptLines[[#This Row],[Discount_Info]]</f>
        <v>2.39</v>
      </c>
      <c r="L53" s="6">
        <f>tbl_ReceiptLines[[#This Row],[Line_Total]]-tbl_ReceiptLines[[#This Row],[Discount_Info]]</f>
        <v>2.39</v>
      </c>
    </row>
    <row r="54" spans="1:12" hidden="1" x14ac:dyDescent="0.3">
      <c r="A54" t="s">
        <v>13</v>
      </c>
      <c r="B54" s="11" t="s">
        <v>11</v>
      </c>
      <c r="C54">
        <v>11</v>
      </c>
      <c r="D54" t="s">
        <v>318</v>
      </c>
      <c r="E54">
        <v>1</v>
      </c>
      <c r="F54" t="s">
        <v>319</v>
      </c>
      <c r="G54" s="6">
        <f>tbl_ReceiptLines[[#This Row],[Line_Total]]/tbl_ReceiptLines[[#This Row],[Quantity]]</f>
        <v>9.7899999999999991</v>
      </c>
      <c r="H54" s="6">
        <v>9.7899999999999991</v>
      </c>
      <c r="J54">
        <f>tbl_ReceiptLines[[#This Row],[Line_Total]]-tbl_ReceiptLines[[#This Row],[Discount_Info]]</f>
        <v>9.7899999999999991</v>
      </c>
      <c r="L54" s="6">
        <f>tbl_ReceiptLines[[#This Row],[Line_Total]]-tbl_ReceiptLines[[#This Row],[Discount_Info]]</f>
        <v>9.7899999999999991</v>
      </c>
    </row>
    <row r="55" spans="1:12" hidden="1" x14ac:dyDescent="0.3">
      <c r="A55" t="s">
        <v>13</v>
      </c>
      <c r="B55" s="11" t="s">
        <v>11</v>
      </c>
      <c r="C55">
        <v>12</v>
      </c>
      <c r="D55" t="s">
        <v>320</v>
      </c>
      <c r="E55">
        <v>1</v>
      </c>
      <c r="F55" t="s">
        <v>321</v>
      </c>
      <c r="G55" s="6">
        <f>tbl_ReceiptLines[[#This Row],[Line_Total]]/tbl_ReceiptLines[[#This Row],[Quantity]]</f>
        <v>2.4900000000000002</v>
      </c>
      <c r="H55" s="6">
        <v>2.4900000000000002</v>
      </c>
      <c r="J55">
        <f>tbl_ReceiptLines[[#This Row],[Line_Total]]-tbl_ReceiptLines[[#This Row],[Discount_Info]]</f>
        <v>2.4900000000000002</v>
      </c>
      <c r="L55" s="6">
        <f>tbl_ReceiptLines[[#This Row],[Line_Total]]-tbl_ReceiptLines[[#This Row],[Discount_Info]]</f>
        <v>2.4900000000000002</v>
      </c>
    </row>
    <row r="56" spans="1:12" hidden="1" x14ac:dyDescent="0.3">
      <c r="A56" t="s">
        <v>13</v>
      </c>
      <c r="B56" s="11" t="s">
        <v>11</v>
      </c>
      <c r="C56">
        <v>13</v>
      </c>
      <c r="D56" t="s">
        <v>322</v>
      </c>
      <c r="E56">
        <v>1</v>
      </c>
      <c r="F56" t="s">
        <v>321</v>
      </c>
      <c r="G56" s="6">
        <f>tbl_ReceiptLines[[#This Row],[Line_Total]]/tbl_ReceiptLines[[#This Row],[Quantity]]</f>
        <v>2.4900000000000002</v>
      </c>
      <c r="H56" s="6">
        <v>2.4900000000000002</v>
      </c>
      <c r="J56">
        <f>tbl_ReceiptLines[[#This Row],[Line_Total]]-tbl_ReceiptLines[[#This Row],[Discount_Info]]</f>
        <v>2.4900000000000002</v>
      </c>
      <c r="L56" s="6">
        <f>tbl_ReceiptLines[[#This Row],[Line_Total]]-tbl_ReceiptLines[[#This Row],[Discount_Info]]</f>
        <v>2.4900000000000002</v>
      </c>
    </row>
    <row r="57" spans="1:12" hidden="1" x14ac:dyDescent="0.3">
      <c r="A57" t="s">
        <v>13</v>
      </c>
      <c r="B57" s="11" t="s">
        <v>11</v>
      </c>
      <c r="C57">
        <v>14</v>
      </c>
      <c r="D57" t="s">
        <v>323</v>
      </c>
      <c r="E57">
        <v>1</v>
      </c>
      <c r="F57" t="s">
        <v>324</v>
      </c>
      <c r="G57" s="6">
        <f>tbl_ReceiptLines[[#This Row],[Line_Total]]/tbl_ReceiptLines[[#This Row],[Quantity]]</f>
        <v>3.99</v>
      </c>
      <c r="H57" s="6">
        <v>3.99</v>
      </c>
      <c r="J57">
        <f>tbl_ReceiptLines[[#This Row],[Line_Total]]-tbl_ReceiptLines[[#This Row],[Discount_Info]]</f>
        <v>3.99</v>
      </c>
      <c r="L57" s="6">
        <f>tbl_ReceiptLines[[#This Row],[Line_Total]]-tbl_ReceiptLines[[#This Row],[Discount_Info]]</f>
        <v>3.99</v>
      </c>
    </row>
    <row r="58" spans="1:12" hidden="1" x14ac:dyDescent="0.3">
      <c r="A58" t="s">
        <v>13</v>
      </c>
      <c r="B58" s="11" t="s">
        <v>11</v>
      </c>
      <c r="C58">
        <v>15</v>
      </c>
      <c r="D58" t="s">
        <v>325</v>
      </c>
      <c r="E58">
        <v>1</v>
      </c>
      <c r="F58" t="s">
        <v>326</v>
      </c>
      <c r="G58" s="6">
        <f>tbl_ReceiptLines[[#This Row],[Line_Total]]/tbl_ReceiptLines[[#This Row],[Quantity]]</f>
        <v>0</v>
      </c>
      <c r="H58" s="6">
        <v>0</v>
      </c>
      <c r="J58">
        <f>tbl_ReceiptLines[[#This Row],[Line_Total]]-tbl_ReceiptLines[[#This Row],[Discount_Info]]</f>
        <v>0</v>
      </c>
      <c r="L58" s="6">
        <f>tbl_ReceiptLines[[#This Row],[Line_Total]]-tbl_ReceiptLines[[#This Row],[Discount_Info]]</f>
        <v>0</v>
      </c>
    </row>
    <row r="59" spans="1:12" hidden="1" x14ac:dyDescent="0.3">
      <c r="A59" t="s">
        <v>13</v>
      </c>
      <c r="B59" s="11" t="s">
        <v>11</v>
      </c>
      <c r="C59">
        <v>16</v>
      </c>
      <c r="D59" t="s">
        <v>327</v>
      </c>
      <c r="E59">
        <v>1</v>
      </c>
      <c r="F59" t="s">
        <v>328</v>
      </c>
      <c r="G59" s="6">
        <f>tbl_ReceiptLines[[#This Row],[Line_Total]]/tbl_ReceiptLines[[#This Row],[Quantity]]</f>
        <v>3.38</v>
      </c>
      <c r="H59" s="6">
        <v>3.38</v>
      </c>
      <c r="J59">
        <f>tbl_ReceiptLines[[#This Row],[Line_Total]]-tbl_ReceiptLines[[#This Row],[Discount_Info]]</f>
        <v>2.36</v>
      </c>
      <c r="K59" s="6">
        <v>1.02</v>
      </c>
      <c r="L59" s="6">
        <f>tbl_ReceiptLines[[#This Row],[Line_Total]]-tbl_ReceiptLines[[#This Row],[Discount_Info]]</f>
        <v>2.36</v>
      </c>
    </row>
    <row r="60" spans="1:12" hidden="1" x14ac:dyDescent="0.3">
      <c r="A60" t="s">
        <v>13</v>
      </c>
      <c r="B60" s="11" t="s">
        <v>11</v>
      </c>
      <c r="C60">
        <v>17</v>
      </c>
      <c r="D60" t="s">
        <v>329</v>
      </c>
      <c r="E60">
        <v>1</v>
      </c>
      <c r="F60" t="s">
        <v>330</v>
      </c>
      <c r="G60" s="6">
        <f>tbl_ReceiptLines[[#This Row],[Line_Total]]/tbl_ReceiptLines[[#This Row],[Quantity]]</f>
        <v>2.4900000000000002</v>
      </c>
      <c r="H60" s="6">
        <v>2.4900000000000002</v>
      </c>
      <c r="J60">
        <f>tbl_ReceiptLines[[#This Row],[Line_Total]]-tbl_ReceiptLines[[#This Row],[Discount_Info]]</f>
        <v>2.29</v>
      </c>
      <c r="K60" s="6">
        <v>0.2</v>
      </c>
      <c r="L60" s="6">
        <f>tbl_ReceiptLines[[#This Row],[Line_Total]]-tbl_ReceiptLines[[#This Row],[Discount_Info]]</f>
        <v>2.29</v>
      </c>
    </row>
    <row r="61" spans="1:12" hidden="1" x14ac:dyDescent="0.3">
      <c r="A61" t="s">
        <v>13</v>
      </c>
      <c r="B61" s="11" t="s">
        <v>11</v>
      </c>
      <c r="C61">
        <v>18</v>
      </c>
      <c r="D61" t="s">
        <v>331</v>
      </c>
      <c r="E61">
        <v>1</v>
      </c>
      <c r="F61" t="s">
        <v>332</v>
      </c>
      <c r="G61" s="6">
        <f>tbl_ReceiptLines[[#This Row],[Line_Total]]/tbl_ReceiptLines[[#This Row],[Quantity]]</f>
        <v>1.79</v>
      </c>
      <c r="H61" s="6">
        <v>1.79</v>
      </c>
      <c r="J61">
        <f>tbl_ReceiptLines[[#This Row],[Line_Total]]-tbl_ReceiptLines[[#This Row],[Discount_Info]]</f>
        <v>1.79</v>
      </c>
      <c r="L61" s="6">
        <f>tbl_ReceiptLines[[#This Row],[Line_Total]]-tbl_ReceiptLines[[#This Row],[Discount_Info]]</f>
        <v>1.79</v>
      </c>
    </row>
    <row r="62" spans="1:12" hidden="1" x14ac:dyDescent="0.3">
      <c r="A62" t="s">
        <v>13</v>
      </c>
      <c r="B62" s="11" t="s">
        <v>11</v>
      </c>
      <c r="C62">
        <v>19</v>
      </c>
      <c r="D62" t="s">
        <v>333</v>
      </c>
      <c r="E62">
        <v>1</v>
      </c>
      <c r="F62" t="s">
        <v>334</v>
      </c>
      <c r="G62" s="6">
        <f>tbl_ReceiptLines[[#This Row],[Line_Total]]/tbl_ReceiptLines[[#This Row],[Quantity]]</f>
        <v>3.89</v>
      </c>
      <c r="H62" s="6">
        <v>3.89</v>
      </c>
      <c r="J62">
        <f>tbl_ReceiptLines[[#This Row],[Line_Total]]-tbl_ReceiptLines[[#This Row],[Discount_Info]]</f>
        <v>3.89</v>
      </c>
      <c r="L62" s="6">
        <f>tbl_ReceiptLines[[#This Row],[Line_Total]]-tbl_ReceiptLines[[#This Row],[Discount_Info]]</f>
        <v>3.89</v>
      </c>
    </row>
    <row r="63" spans="1:12" hidden="1" x14ac:dyDescent="0.3">
      <c r="A63" t="s">
        <v>13</v>
      </c>
      <c r="B63" s="11" t="s">
        <v>11</v>
      </c>
      <c r="C63">
        <v>20</v>
      </c>
      <c r="D63" t="s">
        <v>335</v>
      </c>
      <c r="E63">
        <v>1</v>
      </c>
      <c r="F63" t="s">
        <v>330</v>
      </c>
      <c r="G63" s="6">
        <f>tbl_ReceiptLines[[#This Row],[Line_Total]]/tbl_ReceiptLines[[#This Row],[Quantity]]</f>
        <v>0.59</v>
      </c>
      <c r="H63" s="6">
        <v>0.59</v>
      </c>
      <c r="J63">
        <f>tbl_ReceiptLines[[#This Row],[Line_Total]]-tbl_ReceiptLines[[#This Row],[Discount_Info]]</f>
        <v>0.59</v>
      </c>
      <c r="L63" s="6">
        <f>tbl_ReceiptLines[[#This Row],[Line_Total]]-tbl_ReceiptLines[[#This Row],[Discount_Info]]</f>
        <v>0.59</v>
      </c>
    </row>
    <row r="64" spans="1:12" hidden="1" x14ac:dyDescent="0.3">
      <c r="A64" t="s">
        <v>13</v>
      </c>
      <c r="B64" s="11" t="s">
        <v>11</v>
      </c>
      <c r="C64">
        <v>21</v>
      </c>
      <c r="D64" t="s">
        <v>336</v>
      </c>
      <c r="E64">
        <v>1</v>
      </c>
      <c r="F64" t="s">
        <v>311</v>
      </c>
      <c r="G64" s="6">
        <f>tbl_ReceiptLines[[#This Row],[Line_Total]]/tbl_ReceiptLines[[#This Row],[Quantity]]</f>
        <v>4.79</v>
      </c>
      <c r="H64" s="6">
        <v>4.79</v>
      </c>
      <c r="J64">
        <f>tbl_ReceiptLines[[#This Row],[Line_Total]]-tbl_ReceiptLines[[#This Row],[Discount_Info]]</f>
        <v>4.79</v>
      </c>
      <c r="L64" s="6">
        <f>tbl_ReceiptLines[[#This Row],[Line_Total]]-tbl_ReceiptLines[[#This Row],[Discount_Info]]</f>
        <v>4.79</v>
      </c>
    </row>
    <row r="65" spans="1:12" hidden="1" x14ac:dyDescent="0.3">
      <c r="A65" t="s">
        <v>13</v>
      </c>
      <c r="B65" s="11" t="s">
        <v>11</v>
      </c>
      <c r="C65">
        <v>22</v>
      </c>
      <c r="D65" t="s">
        <v>337</v>
      </c>
      <c r="E65">
        <v>1</v>
      </c>
      <c r="F65" t="s">
        <v>330</v>
      </c>
      <c r="G65" s="6">
        <f>tbl_ReceiptLines[[#This Row],[Line_Total]]/tbl_ReceiptLines[[#This Row],[Quantity]]</f>
        <v>1.99</v>
      </c>
      <c r="H65" s="6">
        <v>1.99</v>
      </c>
      <c r="J65">
        <f>tbl_ReceiptLines[[#This Row],[Line_Total]]-tbl_ReceiptLines[[#This Row],[Discount_Info]]</f>
        <v>1.99</v>
      </c>
      <c r="L65" s="6">
        <f>tbl_ReceiptLines[[#This Row],[Line_Total]]-tbl_ReceiptLines[[#This Row],[Discount_Info]]</f>
        <v>1.99</v>
      </c>
    </row>
    <row r="66" spans="1:12" hidden="1" x14ac:dyDescent="0.3">
      <c r="A66" t="s">
        <v>13</v>
      </c>
      <c r="B66" s="11" t="s">
        <v>11</v>
      </c>
      <c r="C66">
        <v>23</v>
      </c>
      <c r="D66" t="s">
        <v>338</v>
      </c>
      <c r="E66">
        <v>1</v>
      </c>
      <c r="F66" t="s">
        <v>311</v>
      </c>
      <c r="G66" s="6">
        <f>tbl_ReceiptLines[[#This Row],[Line_Total]]/tbl_ReceiptLines[[#This Row],[Quantity]]</f>
        <v>2.19</v>
      </c>
      <c r="H66" s="6">
        <v>2.19</v>
      </c>
      <c r="J66">
        <f>tbl_ReceiptLines[[#This Row],[Line_Total]]-tbl_ReceiptLines[[#This Row],[Discount_Info]]</f>
        <v>1.75</v>
      </c>
      <c r="K66" s="6">
        <v>0.44</v>
      </c>
      <c r="L66" s="6">
        <f>tbl_ReceiptLines[[#This Row],[Line_Total]]-tbl_ReceiptLines[[#This Row],[Discount_Info]]</f>
        <v>1.75</v>
      </c>
    </row>
    <row r="67" spans="1:12" hidden="1" x14ac:dyDescent="0.3">
      <c r="A67" t="s">
        <v>13</v>
      </c>
      <c r="B67" s="11" t="s">
        <v>11</v>
      </c>
      <c r="C67">
        <v>24</v>
      </c>
      <c r="D67" t="s">
        <v>339</v>
      </c>
      <c r="E67">
        <v>3</v>
      </c>
      <c r="F67" t="s">
        <v>340</v>
      </c>
      <c r="G67" s="6">
        <f>tbl_ReceiptLines[[#This Row],[Line_Total]]/tbl_ReceiptLines[[#This Row],[Quantity]]</f>
        <v>1.29</v>
      </c>
      <c r="H67" s="6">
        <v>3.87</v>
      </c>
      <c r="J67">
        <f>tbl_ReceiptLines[[#This Row],[Line_Total]]-tbl_ReceiptLines[[#This Row],[Discount_Info]]</f>
        <v>3</v>
      </c>
      <c r="K67" s="6">
        <v>0.87</v>
      </c>
      <c r="L67" s="6">
        <f>tbl_ReceiptLines[[#This Row],[Line_Total]]-tbl_ReceiptLines[[#This Row],[Discount_Info]]</f>
        <v>3</v>
      </c>
    </row>
    <row r="68" spans="1:12" hidden="1" x14ac:dyDescent="0.3">
      <c r="A68" t="s">
        <v>13</v>
      </c>
      <c r="B68" s="11" t="s">
        <v>11</v>
      </c>
      <c r="C68">
        <v>25</v>
      </c>
      <c r="D68" t="s">
        <v>341</v>
      </c>
      <c r="E68">
        <v>1</v>
      </c>
      <c r="F68" t="s">
        <v>307</v>
      </c>
      <c r="G68" s="6">
        <f>tbl_ReceiptLines[[#This Row],[Line_Total]]/tbl_ReceiptLines[[#This Row],[Quantity]]</f>
        <v>3.49</v>
      </c>
      <c r="H68" s="6">
        <v>3.49</v>
      </c>
      <c r="J68">
        <f>tbl_ReceiptLines[[#This Row],[Line_Total]]-tbl_ReceiptLines[[#This Row],[Discount_Info]]</f>
        <v>3.49</v>
      </c>
      <c r="L68" s="6">
        <f>tbl_ReceiptLines[[#This Row],[Line_Total]]-tbl_ReceiptLines[[#This Row],[Discount_Info]]</f>
        <v>3.49</v>
      </c>
    </row>
    <row r="69" spans="1:12" hidden="1" x14ac:dyDescent="0.3">
      <c r="A69" t="s">
        <v>13</v>
      </c>
      <c r="B69" s="11" t="s">
        <v>11</v>
      </c>
      <c r="C69">
        <v>26</v>
      </c>
      <c r="D69" t="s">
        <v>318</v>
      </c>
      <c r="E69">
        <v>1</v>
      </c>
      <c r="F69" t="s">
        <v>342</v>
      </c>
      <c r="G69" s="6">
        <f>tbl_ReceiptLines[[#This Row],[Line_Total]]/tbl_ReceiptLines[[#This Row],[Quantity]]</f>
        <v>5.39</v>
      </c>
      <c r="H69" s="6">
        <v>5.39</v>
      </c>
      <c r="J69">
        <f>tbl_ReceiptLines[[#This Row],[Line_Total]]-tbl_ReceiptLines[[#This Row],[Discount_Info]]</f>
        <v>5.39</v>
      </c>
      <c r="L69" s="6">
        <f>tbl_ReceiptLines[[#This Row],[Line_Total]]-tbl_ReceiptLines[[#This Row],[Discount_Info]]</f>
        <v>5.39</v>
      </c>
    </row>
    <row r="70" spans="1:12" hidden="1" x14ac:dyDescent="0.3">
      <c r="A70" t="s">
        <v>13</v>
      </c>
      <c r="B70" s="11" t="s">
        <v>11</v>
      </c>
      <c r="C70">
        <v>27</v>
      </c>
      <c r="D70" t="s">
        <v>343</v>
      </c>
      <c r="E70">
        <v>1</v>
      </c>
      <c r="F70" t="s">
        <v>344</v>
      </c>
      <c r="G70" s="6">
        <f>tbl_ReceiptLines[[#This Row],[Line_Total]]/tbl_ReceiptLines[[#This Row],[Quantity]]</f>
        <v>2.88</v>
      </c>
      <c r="H70" s="6">
        <v>2.88</v>
      </c>
      <c r="J70">
        <f>tbl_ReceiptLines[[#This Row],[Line_Total]]-tbl_ReceiptLines[[#This Row],[Discount_Info]]</f>
        <v>2.88</v>
      </c>
      <c r="L70" s="6">
        <f>tbl_ReceiptLines[[#This Row],[Line_Total]]-tbl_ReceiptLines[[#This Row],[Discount_Info]]</f>
        <v>2.88</v>
      </c>
    </row>
    <row r="71" spans="1:12" hidden="1" x14ac:dyDescent="0.3">
      <c r="A71" t="s">
        <v>13</v>
      </c>
      <c r="B71" s="11" t="s">
        <v>11</v>
      </c>
      <c r="C71">
        <v>28</v>
      </c>
      <c r="D71" t="s">
        <v>345</v>
      </c>
      <c r="E71">
        <v>1</v>
      </c>
      <c r="F71" t="s">
        <v>346</v>
      </c>
      <c r="G71" s="6">
        <f>tbl_ReceiptLines[[#This Row],[Line_Total]]/tbl_ReceiptLines[[#This Row],[Quantity]]</f>
        <v>3.89</v>
      </c>
      <c r="H71" s="6">
        <v>3.89</v>
      </c>
      <c r="J71">
        <f>tbl_ReceiptLines[[#This Row],[Line_Total]]-tbl_ReceiptLines[[#This Row],[Discount_Info]]</f>
        <v>3.89</v>
      </c>
      <c r="L71" s="6">
        <f>tbl_ReceiptLines[[#This Row],[Line_Total]]-tbl_ReceiptLines[[#This Row],[Discount_Info]]</f>
        <v>3.89</v>
      </c>
    </row>
    <row r="72" spans="1:12" hidden="1" x14ac:dyDescent="0.3">
      <c r="A72" t="s">
        <v>13</v>
      </c>
      <c r="B72" s="11" t="s">
        <v>11</v>
      </c>
      <c r="C72">
        <v>29</v>
      </c>
      <c r="D72" t="s">
        <v>347</v>
      </c>
      <c r="E72">
        <v>3</v>
      </c>
      <c r="F72" t="s">
        <v>332</v>
      </c>
      <c r="G72" s="6">
        <f>tbl_ReceiptLines[[#This Row],[Line_Total]]/tbl_ReceiptLines[[#This Row],[Quantity]]</f>
        <v>1.5899999999999999</v>
      </c>
      <c r="H72" s="6">
        <v>4.7699999999999996</v>
      </c>
      <c r="J72">
        <f>tbl_ReceiptLines[[#This Row],[Line_Total]]-tbl_ReceiptLines[[#This Row],[Discount_Info]]</f>
        <v>4.7699999999999996</v>
      </c>
      <c r="L72" s="6">
        <f>tbl_ReceiptLines[[#This Row],[Line_Total]]-tbl_ReceiptLines[[#This Row],[Discount_Info]]</f>
        <v>4.7699999999999996</v>
      </c>
    </row>
    <row r="73" spans="1:12" hidden="1" x14ac:dyDescent="0.3">
      <c r="A73" t="s">
        <v>13</v>
      </c>
      <c r="B73" s="11" t="s">
        <v>11</v>
      </c>
      <c r="C73">
        <v>30</v>
      </c>
      <c r="D73" t="s">
        <v>348</v>
      </c>
      <c r="E73">
        <v>2</v>
      </c>
      <c r="F73" t="s">
        <v>349</v>
      </c>
      <c r="G73" s="6">
        <f>tbl_ReceiptLines[[#This Row],[Line_Total]]/tbl_ReceiptLines[[#This Row],[Quantity]]</f>
        <v>3.29</v>
      </c>
      <c r="H73" s="6">
        <v>6.58</v>
      </c>
      <c r="J73">
        <f>tbl_ReceiptLines[[#This Row],[Line_Total]]-tbl_ReceiptLines[[#This Row],[Discount_Info]]</f>
        <v>6.58</v>
      </c>
      <c r="L73" s="6">
        <f>tbl_ReceiptLines[[#This Row],[Line_Total]]-tbl_ReceiptLines[[#This Row],[Discount_Info]]</f>
        <v>6.58</v>
      </c>
    </row>
    <row r="74" spans="1:12" hidden="1" x14ac:dyDescent="0.3">
      <c r="A74" t="s">
        <v>13</v>
      </c>
      <c r="B74" s="11" t="s">
        <v>11</v>
      </c>
      <c r="C74">
        <v>31</v>
      </c>
      <c r="D74" t="s">
        <v>350</v>
      </c>
      <c r="E74">
        <v>1</v>
      </c>
      <c r="F74" t="s">
        <v>351</v>
      </c>
      <c r="G74" s="6">
        <f>tbl_ReceiptLines[[#This Row],[Line_Total]]/tbl_ReceiptLines[[#This Row],[Quantity]]</f>
        <v>1.79</v>
      </c>
      <c r="H74" s="6">
        <v>1.79</v>
      </c>
      <c r="J74">
        <f>tbl_ReceiptLines[[#This Row],[Line_Total]]-tbl_ReceiptLines[[#This Row],[Discount_Info]]</f>
        <v>1.79</v>
      </c>
      <c r="L74" s="6">
        <f>tbl_ReceiptLines[[#This Row],[Line_Total]]-tbl_ReceiptLines[[#This Row],[Discount_Info]]</f>
        <v>1.79</v>
      </c>
    </row>
    <row r="75" spans="1:12" hidden="1" x14ac:dyDescent="0.3">
      <c r="A75" t="s">
        <v>13</v>
      </c>
      <c r="B75" s="11" t="s">
        <v>11</v>
      </c>
      <c r="C75">
        <v>32</v>
      </c>
      <c r="D75" t="s">
        <v>352</v>
      </c>
      <c r="E75">
        <v>1</v>
      </c>
      <c r="F75" t="s">
        <v>353</v>
      </c>
      <c r="G75" s="6">
        <f>tbl_ReceiptLines[[#This Row],[Line_Total]]/tbl_ReceiptLines[[#This Row],[Quantity]]</f>
        <v>1.69</v>
      </c>
      <c r="H75" s="6">
        <v>1.69</v>
      </c>
      <c r="J75">
        <f>tbl_ReceiptLines[[#This Row],[Line_Total]]-tbl_ReceiptLines[[#This Row],[Discount_Info]]</f>
        <v>1.69</v>
      </c>
      <c r="L75" s="6">
        <f>tbl_ReceiptLines[[#This Row],[Line_Total]]-tbl_ReceiptLines[[#This Row],[Discount_Info]]</f>
        <v>1.69</v>
      </c>
    </row>
    <row r="76" spans="1:12" hidden="1" x14ac:dyDescent="0.3">
      <c r="A76" t="s">
        <v>13</v>
      </c>
      <c r="B76" s="11" t="s">
        <v>11</v>
      </c>
      <c r="C76">
        <v>33</v>
      </c>
      <c r="D76" t="s">
        <v>354</v>
      </c>
      <c r="E76">
        <v>6</v>
      </c>
      <c r="F76" t="s">
        <v>321</v>
      </c>
      <c r="G76" s="6">
        <f>tbl_ReceiptLines[[#This Row],[Line_Total]]/tbl_ReceiptLines[[#This Row],[Quantity]]</f>
        <v>0.95000000000000007</v>
      </c>
      <c r="H76" s="6">
        <v>5.7</v>
      </c>
      <c r="J76">
        <f>tbl_ReceiptLines[[#This Row],[Line_Total]]-tbl_ReceiptLines[[#This Row],[Discount_Info]]</f>
        <v>5.7</v>
      </c>
      <c r="L76" s="6">
        <f>tbl_ReceiptLines[[#This Row],[Line_Total]]-tbl_ReceiptLines[[#This Row],[Discount_Info]]</f>
        <v>5.7</v>
      </c>
    </row>
    <row r="77" spans="1:12" hidden="1" x14ac:dyDescent="0.3">
      <c r="A77" t="s">
        <v>146</v>
      </c>
      <c r="B77" s="11" t="s">
        <v>147</v>
      </c>
      <c r="C77">
        <v>1</v>
      </c>
      <c r="D77" t="s">
        <v>355</v>
      </c>
      <c r="E77">
        <v>1</v>
      </c>
      <c r="G77" s="6">
        <f>tbl_ReceiptLines[[#This Row],[Line_Total]]/tbl_ReceiptLines[[#This Row],[Quantity]]</f>
        <v>65</v>
      </c>
      <c r="H77" s="6">
        <v>65</v>
      </c>
      <c r="J77">
        <f>tbl_ReceiptLines[[#This Row],[Line_Total]]-tbl_ReceiptLines[[#This Row],[Discount_Info]]</f>
        <v>65</v>
      </c>
      <c r="L77" s="6">
        <f>tbl_ReceiptLines[[#This Row],[Line_Total]]-tbl_ReceiptLines[[#This Row],[Discount_Info]]</f>
        <v>65</v>
      </c>
    </row>
    <row r="78" spans="1:12" hidden="1" x14ac:dyDescent="0.3">
      <c r="A78" t="s">
        <v>149</v>
      </c>
      <c r="B78" s="11" t="s">
        <v>150</v>
      </c>
      <c r="C78">
        <v>1</v>
      </c>
      <c r="D78" t="s">
        <v>356</v>
      </c>
      <c r="E78">
        <v>1</v>
      </c>
      <c r="G78" s="6">
        <v>1449</v>
      </c>
      <c r="H78" s="6">
        <v>1449</v>
      </c>
      <c r="I78" t="s">
        <v>357</v>
      </c>
      <c r="J78">
        <f>tbl_ReceiptLines[[#This Row],[Line_Total]]-tbl_ReceiptLines[[#This Row],[Discount_Info]]</f>
        <v>1449</v>
      </c>
      <c r="L78" s="6">
        <f>tbl_ReceiptLines[[#This Row],[Line_Total]]-tbl_ReceiptLines[[#This Row],[Discount_Info]]</f>
        <v>1449</v>
      </c>
    </row>
    <row r="79" spans="1:12" hidden="1" x14ac:dyDescent="0.3">
      <c r="A79" t="s">
        <v>149</v>
      </c>
      <c r="B79" s="11" t="s">
        <v>150</v>
      </c>
      <c r="C79">
        <v>2</v>
      </c>
      <c r="D79" t="s">
        <v>299</v>
      </c>
      <c r="E79">
        <v>1</v>
      </c>
      <c r="G79" s="6">
        <v>0</v>
      </c>
      <c r="H79" s="6">
        <v>0</v>
      </c>
      <c r="J79">
        <f>tbl_ReceiptLines[[#This Row],[Line_Total]]-tbl_ReceiptLines[[#This Row],[Discount_Info]]</f>
        <v>0</v>
      </c>
      <c r="L79" s="6">
        <f>tbl_ReceiptLines[[#This Row],[Line_Total]]-tbl_ReceiptLines[[#This Row],[Discount_Info]]</f>
        <v>0</v>
      </c>
    </row>
    <row r="80" spans="1:12" hidden="1" x14ac:dyDescent="0.3">
      <c r="A80" t="s">
        <v>156</v>
      </c>
      <c r="B80" s="11" t="s">
        <v>157</v>
      </c>
      <c r="C80">
        <v>1</v>
      </c>
      <c r="D80" t="s">
        <v>358</v>
      </c>
      <c r="E80">
        <v>1</v>
      </c>
      <c r="G80" s="6">
        <f>L80/E80</f>
        <v>6.99</v>
      </c>
      <c r="H80" s="6">
        <v>6.99</v>
      </c>
      <c r="J80">
        <f>tbl_ReceiptLines[[#This Row],[Line_Total]]-tbl_ReceiptLines[[#This Row],[Discount_Info]]</f>
        <v>6.99</v>
      </c>
      <c r="L80" s="6">
        <f>H80</f>
        <v>6.99</v>
      </c>
    </row>
    <row r="81" spans="1:12" hidden="1" x14ac:dyDescent="0.3">
      <c r="A81" t="s">
        <v>156</v>
      </c>
      <c r="B81" s="11" t="s">
        <v>157</v>
      </c>
      <c r="C81">
        <v>2</v>
      </c>
      <c r="D81" t="s">
        <v>359</v>
      </c>
      <c r="E81">
        <v>1</v>
      </c>
      <c r="G81" s="6">
        <f>L81/E81</f>
        <v>1.29</v>
      </c>
      <c r="H81" s="6">
        <v>1.29</v>
      </c>
      <c r="J81">
        <f>tbl_ReceiptLines[[#This Row],[Line_Total]]-tbl_ReceiptLines[[#This Row],[Discount_Info]]</f>
        <v>1.29</v>
      </c>
      <c r="L81" s="6">
        <f>H81</f>
        <v>1.29</v>
      </c>
    </row>
    <row r="82" spans="1:12" hidden="1" x14ac:dyDescent="0.3">
      <c r="A82" t="s">
        <v>162</v>
      </c>
      <c r="B82" s="11" t="s">
        <v>163</v>
      </c>
      <c r="C82">
        <v>1</v>
      </c>
      <c r="D82" t="s">
        <v>360</v>
      </c>
      <c r="E82">
        <v>1</v>
      </c>
      <c r="F82" t="s">
        <v>361</v>
      </c>
      <c r="G82" s="6">
        <f t="shared" ref="G82:G87" si="0">H82/E82</f>
        <v>2.39</v>
      </c>
      <c r="H82" s="6">
        <v>2.39</v>
      </c>
      <c r="J82">
        <f>tbl_ReceiptLines[[#This Row],[Line_Total]]-tbl_ReceiptLines[[#This Row],[Discount_Info]]</f>
        <v>2.39</v>
      </c>
      <c r="L82" s="6">
        <v>2.39</v>
      </c>
    </row>
    <row r="83" spans="1:12" hidden="1" x14ac:dyDescent="0.3">
      <c r="A83" t="s">
        <v>162</v>
      </c>
      <c r="B83" s="11" t="s">
        <v>163</v>
      </c>
      <c r="C83">
        <v>2</v>
      </c>
      <c r="D83" t="s">
        <v>362</v>
      </c>
      <c r="E83">
        <v>1</v>
      </c>
      <c r="G83" s="6">
        <f t="shared" si="0"/>
        <v>1.5</v>
      </c>
      <c r="H83" s="6">
        <v>1.5</v>
      </c>
      <c r="J83">
        <f>tbl_ReceiptLines[[#This Row],[Line_Total]]-tbl_ReceiptLines[[#This Row],[Discount_Info]]</f>
        <v>1.5</v>
      </c>
      <c r="L83" s="6">
        <v>1.5</v>
      </c>
    </row>
    <row r="84" spans="1:12" hidden="1" x14ac:dyDescent="0.3">
      <c r="A84" t="s">
        <v>162</v>
      </c>
      <c r="B84" s="11" t="s">
        <v>163</v>
      </c>
      <c r="C84">
        <v>3</v>
      </c>
      <c r="D84" t="s">
        <v>363</v>
      </c>
      <c r="E84">
        <v>1</v>
      </c>
      <c r="G84" s="6">
        <f t="shared" si="0"/>
        <v>1.41</v>
      </c>
      <c r="H84" s="6">
        <v>1.41</v>
      </c>
      <c r="J84">
        <f>tbl_ReceiptLines[[#This Row],[Line_Total]]-tbl_ReceiptLines[[#This Row],[Discount_Info]]</f>
        <v>1.41</v>
      </c>
      <c r="L84" s="6">
        <v>1.41</v>
      </c>
    </row>
    <row r="85" spans="1:12" hidden="1" x14ac:dyDescent="0.3">
      <c r="A85" t="s">
        <v>162</v>
      </c>
      <c r="B85" s="11" t="s">
        <v>163</v>
      </c>
      <c r="C85">
        <v>4</v>
      </c>
      <c r="D85" t="s">
        <v>364</v>
      </c>
      <c r="E85">
        <v>1</v>
      </c>
      <c r="G85" s="6">
        <f t="shared" si="0"/>
        <v>1.25</v>
      </c>
      <c r="H85" s="6">
        <v>1.25</v>
      </c>
      <c r="J85">
        <f>tbl_ReceiptLines[[#This Row],[Line_Total]]-tbl_ReceiptLines[[#This Row],[Discount_Info]]</f>
        <v>1.25</v>
      </c>
      <c r="L85" s="6">
        <v>1.25</v>
      </c>
    </row>
    <row r="86" spans="1:12" hidden="1" x14ac:dyDescent="0.3">
      <c r="A86" t="s">
        <v>169</v>
      </c>
      <c r="B86" s="11" t="s">
        <v>170</v>
      </c>
      <c r="C86">
        <v>1</v>
      </c>
      <c r="D86" t="s">
        <v>365</v>
      </c>
      <c r="E86">
        <v>1</v>
      </c>
      <c r="G86" s="6">
        <f t="shared" si="0"/>
        <v>2.56</v>
      </c>
      <c r="H86" s="6">
        <v>2.56</v>
      </c>
      <c r="J86">
        <f>tbl_ReceiptLines[[#This Row],[Line_Total]]-tbl_ReceiptLines[[#This Row],[Discount_Info]]</f>
        <v>2.56</v>
      </c>
      <c r="L86" s="6">
        <v>2.56</v>
      </c>
    </row>
    <row r="87" spans="1:12" hidden="1" x14ac:dyDescent="0.3">
      <c r="A87" t="s">
        <v>169</v>
      </c>
      <c r="B87" s="11" t="s">
        <v>170</v>
      </c>
      <c r="C87">
        <v>2</v>
      </c>
      <c r="D87" t="s">
        <v>366</v>
      </c>
      <c r="E87">
        <v>2</v>
      </c>
      <c r="G87" s="6">
        <f t="shared" si="0"/>
        <v>1.22</v>
      </c>
      <c r="H87" s="6">
        <v>2.44</v>
      </c>
      <c r="J87">
        <f>tbl_ReceiptLines[[#This Row],[Line_Total]]-tbl_ReceiptLines[[#This Row],[Discount_Info]]</f>
        <v>2.44</v>
      </c>
      <c r="L87" s="6">
        <v>2.44</v>
      </c>
    </row>
    <row r="88" spans="1:12" hidden="1" x14ac:dyDescent="0.3">
      <c r="A88" t="s">
        <v>175</v>
      </c>
      <c r="B88" s="11" t="s">
        <v>176</v>
      </c>
      <c r="C88">
        <v>1</v>
      </c>
      <c r="D88" t="s">
        <v>367</v>
      </c>
      <c r="E88">
        <v>1</v>
      </c>
      <c r="H88" s="6">
        <v>1.69</v>
      </c>
      <c r="J88">
        <f>tbl_ReceiptLines[[#This Row],[Line_Total]]-tbl_ReceiptLines[[#This Row],[Discount_Info]]</f>
        <v>1.19</v>
      </c>
      <c r="K88" s="6">
        <v>0.5</v>
      </c>
      <c r="L88" s="6">
        <f>tbl_ReceiptLines[[#This Row],[Line_Total]]-tbl_ReceiptLines[[#This Row],[Discount_Info]]</f>
        <v>1.19</v>
      </c>
    </row>
    <row r="89" spans="1:12" hidden="1" x14ac:dyDescent="0.3">
      <c r="A89" t="s">
        <v>175</v>
      </c>
      <c r="B89" s="11" t="s">
        <v>176</v>
      </c>
      <c r="C89">
        <v>2</v>
      </c>
      <c r="D89" t="s">
        <v>368</v>
      </c>
      <c r="E89">
        <v>1</v>
      </c>
      <c r="H89" s="6">
        <v>2.0499999999999998</v>
      </c>
      <c r="J89">
        <f>tbl_ReceiptLines[[#This Row],[Line_Total]]-tbl_ReceiptLines[[#This Row],[Discount_Info]]</f>
        <v>0</v>
      </c>
      <c r="K89" s="6">
        <v>2.0499999999999998</v>
      </c>
      <c r="L89" s="6">
        <f>tbl_ReceiptLines[[#This Row],[Line_Total]]-tbl_ReceiptLines[[#This Row],[Discount_Info]]</f>
        <v>0</v>
      </c>
    </row>
    <row r="90" spans="1:12" hidden="1" x14ac:dyDescent="0.3">
      <c r="A90" t="s">
        <v>175</v>
      </c>
      <c r="B90" s="11" t="s">
        <v>176</v>
      </c>
      <c r="C90">
        <v>3</v>
      </c>
      <c r="D90" t="s">
        <v>369</v>
      </c>
      <c r="E90">
        <v>1</v>
      </c>
      <c r="H90" s="6">
        <v>2.0499999999999998</v>
      </c>
      <c r="J90">
        <f>tbl_ReceiptLines[[#This Row],[Line_Total]]-tbl_ReceiptLines[[#This Row],[Discount_Info]]</f>
        <v>2.0499999999999998</v>
      </c>
      <c r="L90" s="6">
        <f>tbl_ReceiptLines[[#This Row],[Line_Total]]-tbl_ReceiptLines[[#This Row],[Discount_Info]]</f>
        <v>2.0499999999999998</v>
      </c>
    </row>
    <row r="91" spans="1:12" hidden="1" x14ac:dyDescent="0.3">
      <c r="A91" t="s">
        <v>175</v>
      </c>
      <c r="B91" s="11" t="s">
        <v>176</v>
      </c>
      <c r="C91">
        <v>4</v>
      </c>
      <c r="D91" t="s">
        <v>370</v>
      </c>
      <c r="E91">
        <v>1</v>
      </c>
      <c r="H91" s="6">
        <v>1.99</v>
      </c>
      <c r="J91">
        <f>tbl_ReceiptLines[[#This Row],[Line_Total]]-tbl_ReceiptLines[[#This Row],[Discount_Info]]</f>
        <v>1.99</v>
      </c>
      <c r="L91" s="6">
        <f>tbl_ReceiptLines[[#This Row],[Line_Total]]-tbl_ReceiptLines[[#This Row],[Discount_Info]]</f>
        <v>1.99</v>
      </c>
    </row>
    <row r="92" spans="1:12" hidden="1" x14ac:dyDescent="0.3">
      <c r="A92" t="s">
        <v>175</v>
      </c>
      <c r="B92" s="11" t="s">
        <v>176</v>
      </c>
      <c r="C92">
        <v>5</v>
      </c>
      <c r="D92" t="s">
        <v>371</v>
      </c>
      <c r="E92">
        <v>2</v>
      </c>
      <c r="G92" s="6">
        <v>2.97</v>
      </c>
      <c r="H92" s="6">
        <f>tbl_ReceiptLines[[#This Row],[Unit_Price]]*tbl_ReceiptLines[[#This Row],[Quantity]]</f>
        <v>5.94</v>
      </c>
      <c r="J92">
        <f>tbl_ReceiptLines[[#This Row],[Line_Total]]-tbl_ReceiptLines[[#This Row],[Discount_Info]]</f>
        <v>0</v>
      </c>
      <c r="K92" s="6">
        <v>5.94</v>
      </c>
      <c r="L92" s="6">
        <f>tbl_ReceiptLines[[#This Row],[Line_Total]]-tbl_ReceiptLines[[#This Row],[Discount_Info]]</f>
        <v>0</v>
      </c>
    </row>
    <row r="93" spans="1:12" hidden="1" x14ac:dyDescent="0.3">
      <c r="A93" t="s">
        <v>175</v>
      </c>
      <c r="B93" s="11" t="s">
        <v>176</v>
      </c>
      <c r="C93">
        <v>6</v>
      </c>
      <c r="D93" t="s">
        <v>372</v>
      </c>
      <c r="E93">
        <v>2</v>
      </c>
      <c r="G93" s="6">
        <v>2.97</v>
      </c>
      <c r="H93" s="6">
        <f>tbl_ReceiptLines[[#This Row],[Unit_Price]]*tbl_ReceiptLines[[#This Row],[Quantity]]</f>
        <v>5.94</v>
      </c>
      <c r="J93">
        <f>tbl_ReceiptLines[[#This Row],[Line_Total]]-tbl_ReceiptLines[[#This Row],[Discount_Info]]</f>
        <v>3.3600000000000003</v>
      </c>
      <c r="K93" s="6">
        <v>2.58</v>
      </c>
      <c r="L93" s="6">
        <f>tbl_ReceiptLines[[#This Row],[Line_Total]]-tbl_ReceiptLines[[#This Row],[Discount_Info]]</f>
        <v>3.3600000000000003</v>
      </c>
    </row>
    <row r="94" spans="1:12" hidden="1" x14ac:dyDescent="0.3">
      <c r="A94" t="s">
        <v>175</v>
      </c>
      <c r="B94" s="11" t="s">
        <v>176</v>
      </c>
      <c r="C94">
        <v>7</v>
      </c>
      <c r="D94" t="s">
        <v>373</v>
      </c>
      <c r="E94">
        <v>1</v>
      </c>
      <c r="G94" s="6">
        <v>1.33</v>
      </c>
      <c r="H94" s="6">
        <v>1.33</v>
      </c>
      <c r="I94">
        <v>1.33</v>
      </c>
      <c r="J94">
        <f>tbl_ReceiptLines[[#This Row],[Line_Total]]-tbl_ReceiptLines[[#This Row],[Discount_Info]]</f>
        <v>1.33</v>
      </c>
      <c r="L94" s="6">
        <f>tbl_ReceiptLines[[#This Row],[Line_Total]]-tbl_ReceiptLines[[#This Row],[Discount_Info]]</f>
        <v>1.33</v>
      </c>
    </row>
    <row r="95" spans="1:12" hidden="1" x14ac:dyDescent="0.3">
      <c r="A95" t="s">
        <v>175</v>
      </c>
      <c r="B95" s="11" t="s">
        <v>176</v>
      </c>
      <c r="C95">
        <v>8</v>
      </c>
      <c r="D95" t="s">
        <v>374</v>
      </c>
      <c r="E95">
        <v>1</v>
      </c>
      <c r="H95" s="6">
        <v>1.22</v>
      </c>
      <c r="J95">
        <f>tbl_ReceiptLines[[#This Row],[Line_Total]]-tbl_ReceiptLines[[#This Row],[Discount_Info]]</f>
        <v>1.22</v>
      </c>
      <c r="L95" s="6">
        <f>tbl_ReceiptLines[[#This Row],[Line_Total]]-tbl_ReceiptLines[[#This Row],[Discount_Info]]</f>
        <v>1.22</v>
      </c>
    </row>
    <row r="96" spans="1:12" hidden="1" x14ac:dyDescent="0.3">
      <c r="A96" t="s">
        <v>175</v>
      </c>
      <c r="B96" s="11" t="s">
        <v>176</v>
      </c>
      <c r="C96">
        <v>9</v>
      </c>
      <c r="D96" t="s">
        <v>375</v>
      </c>
      <c r="E96">
        <v>1</v>
      </c>
      <c r="H96" s="6">
        <v>1.02</v>
      </c>
      <c r="J96">
        <f>tbl_ReceiptLines[[#This Row],[Line_Total]]-tbl_ReceiptLines[[#This Row],[Discount_Info]]</f>
        <v>1.02</v>
      </c>
      <c r="L96" s="6">
        <f>tbl_ReceiptLines[[#This Row],[Line_Total]]-tbl_ReceiptLines[[#This Row],[Discount_Info]]</f>
        <v>1.02</v>
      </c>
    </row>
    <row r="97" spans="1:12" hidden="1" x14ac:dyDescent="0.3">
      <c r="A97" t="s">
        <v>175</v>
      </c>
      <c r="B97" s="11" t="s">
        <v>176</v>
      </c>
      <c r="C97">
        <v>10</v>
      </c>
      <c r="D97" t="s">
        <v>376</v>
      </c>
      <c r="E97">
        <v>1</v>
      </c>
      <c r="H97" s="6">
        <v>2.0499999999999998</v>
      </c>
      <c r="J97">
        <f>tbl_ReceiptLines[[#This Row],[Line_Total]]-tbl_ReceiptLines[[#This Row],[Discount_Info]]</f>
        <v>1.89</v>
      </c>
      <c r="K97" s="6">
        <v>0.16</v>
      </c>
      <c r="L97" s="6">
        <f>tbl_ReceiptLines[[#This Row],[Line_Total]]-tbl_ReceiptLines[[#This Row],[Discount_Info]]</f>
        <v>1.89</v>
      </c>
    </row>
    <row r="98" spans="1:12" hidden="1" x14ac:dyDescent="0.3">
      <c r="A98" t="s">
        <v>175</v>
      </c>
      <c r="B98" s="11" t="s">
        <v>176</v>
      </c>
      <c r="C98">
        <v>11</v>
      </c>
      <c r="D98" t="s">
        <v>377</v>
      </c>
      <c r="E98">
        <v>14</v>
      </c>
      <c r="G98" s="6">
        <v>0.02</v>
      </c>
      <c r="H98" s="6">
        <f>tbl_ReceiptLines[[#This Row],[Quantity]]*tbl_ReceiptLines[[#This Row],[Unit_Price]]</f>
        <v>0.28000000000000003</v>
      </c>
      <c r="J98">
        <f>tbl_ReceiptLines[[#This Row],[Line_Total]]-tbl_ReceiptLines[[#This Row],[Discount_Info]]</f>
        <v>0.28000000000000003</v>
      </c>
      <c r="L98" s="6">
        <f>tbl_ReceiptLines[[#This Row],[Line_Total]]-tbl_ReceiptLines[[#This Row],[Discount_Info]]</f>
        <v>0.28000000000000003</v>
      </c>
    </row>
    <row r="99" spans="1:12" hidden="1" x14ac:dyDescent="0.3">
      <c r="A99" t="s">
        <v>182</v>
      </c>
      <c r="B99" s="11" t="s">
        <v>183</v>
      </c>
      <c r="C99">
        <v>1</v>
      </c>
      <c r="D99" t="s">
        <v>378</v>
      </c>
      <c r="E99">
        <v>2</v>
      </c>
      <c r="F99">
        <v>350</v>
      </c>
      <c r="G99" s="6">
        <f>L99/2</f>
        <v>3.75</v>
      </c>
      <c r="H99" s="6">
        <v>9.98</v>
      </c>
      <c r="J99">
        <f>tbl_ReceiptLines[[#This Row],[Line_Total]]-tbl_ReceiptLines[[#This Row],[Discount_Info]]</f>
        <v>7.5</v>
      </c>
      <c r="K99" s="6">
        <v>2.48</v>
      </c>
      <c r="L99" s="6">
        <f t="shared" ref="L99:L121" si="1">H99-K99</f>
        <v>7.5</v>
      </c>
    </row>
    <row r="100" spans="1:12" hidden="1" x14ac:dyDescent="0.3">
      <c r="A100" t="s">
        <v>182</v>
      </c>
      <c r="B100" s="11" t="s">
        <v>183</v>
      </c>
      <c r="C100">
        <v>2</v>
      </c>
      <c r="D100" t="s">
        <v>379</v>
      </c>
      <c r="E100">
        <v>1</v>
      </c>
      <c r="H100" s="6">
        <v>2.79</v>
      </c>
      <c r="J100">
        <f>tbl_ReceiptLines[[#This Row],[Line_Total]]-tbl_ReceiptLines[[#This Row],[Discount_Info]]</f>
        <v>2.79</v>
      </c>
      <c r="L100" s="6">
        <f t="shared" si="1"/>
        <v>2.79</v>
      </c>
    </row>
    <row r="101" spans="1:12" hidden="1" x14ac:dyDescent="0.3">
      <c r="A101" t="s">
        <v>182</v>
      </c>
      <c r="B101" s="11" t="s">
        <v>183</v>
      </c>
      <c r="C101">
        <v>3</v>
      </c>
      <c r="D101" t="s">
        <v>380</v>
      </c>
      <c r="E101">
        <v>1</v>
      </c>
      <c r="H101" s="6">
        <v>1.45</v>
      </c>
      <c r="J101">
        <f>tbl_ReceiptLines[[#This Row],[Line_Total]]-tbl_ReceiptLines[[#This Row],[Discount_Info]]</f>
        <v>1.45</v>
      </c>
      <c r="L101" s="6">
        <f t="shared" si="1"/>
        <v>1.45</v>
      </c>
    </row>
    <row r="102" spans="1:12" hidden="1" x14ac:dyDescent="0.3">
      <c r="A102" t="s">
        <v>182</v>
      </c>
      <c r="B102" s="11" t="s">
        <v>183</v>
      </c>
      <c r="C102">
        <v>4</v>
      </c>
      <c r="D102" t="s">
        <v>381</v>
      </c>
      <c r="E102">
        <v>1</v>
      </c>
      <c r="H102" s="6">
        <v>0.69</v>
      </c>
      <c r="J102">
        <f>tbl_ReceiptLines[[#This Row],[Line_Total]]-tbl_ReceiptLines[[#This Row],[Discount_Info]]</f>
        <v>0.69</v>
      </c>
      <c r="L102" s="6">
        <f t="shared" si="1"/>
        <v>0.69</v>
      </c>
    </row>
    <row r="103" spans="1:12" hidden="1" x14ac:dyDescent="0.3">
      <c r="A103" t="s">
        <v>182</v>
      </c>
      <c r="B103" s="11" t="s">
        <v>183</v>
      </c>
      <c r="C103">
        <v>5</v>
      </c>
      <c r="D103" t="s">
        <v>382</v>
      </c>
      <c r="E103">
        <v>1</v>
      </c>
      <c r="H103" s="6">
        <v>1.75</v>
      </c>
      <c r="J103">
        <f>tbl_ReceiptLines[[#This Row],[Line_Total]]-tbl_ReceiptLines[[#This Row],[Discount_Info]]</f>
        <v>1.75</v>
      </c>
      <c r="L103" s="6">
        <f t="shared" si="1"/>
        <v>1.75</v>
      </c>
    </row>
    <row r="104" spans="1:12" hidden="1" x14ac:dyDescent="0.3">
      <c r="A104" t="s">
        <v>182</v>
      </c>
      <c r="B104" s="11" t="s">
        <v>183</v>
      </c>
      <c r="C104">
        <v>6</v>
      </c>
      <c r="D104" t="s">
        <v>383</v>
      </c>
      <c r="E104">
        <v>1</v>
      </c>
      <c r="H104" s="6">
        <v>6.49</v>
      </c>
      <c r="J104">
        <f>tbl_ReceiptLines[[#This Row],[Line_Total]]-tbl_ReceiptLines[[#This Row],[Discount_Info]]</f>
        <v>6.49</v>
      </c>
      <c r="L104" s="6">
        <f t="shared" si="1"/>
        <v>6.49</v>
      </c>
    </row>
    <row r="105" spans="1:12" hidden="1" x14ac:dyDescent="0.3">
      <c r="A105" t="s">
        <v>182</v>
      </c>
      <c r="B105" s="11" t="s">
        <v>183</v>
      </c>
      <c r="C105">
        <v>7</v>
      </c>
      <c r="D105" t="s">
        <v>384</v>
      </c>
      <c r="E105">
        <v>1</v>
      </c>
      <c r="H105" s="6">
        <v>2.15</v>
      </c>
      <c r="J105">
        <f>tbl_ReceiptLines[[#This Row],[Line_Total]]-tbl_ReceiptLines[[#This Row],[Discount_Info]]</f>
        <v>2.15</v>
      </c>
      <c r="L105" s="6">
        <f t="shared" si="1"/>
        <v>2.15</v>
      </c>
    </row>
    <row r="106" spans="1:12" hidden="1" x14ac:dyDescent="0.3">
      <c r="A106" t="s">
        <v>188</v>
      </c>
      <c r="B106" s="11" t="s">
        <v>385</v>
      </c>
      <c r="C106">
        <v>1</v>
      </c>
      <c r="D106" t="s">
        <v>386</v>
      </c>
      <c r="E106">
        <v>1</v>
      </c>
      <c r="H106" s="6">
        <v>1.99</v>
      </c>
      <c r="J106">
        <f>tbl_ReceiptLines[[#This Row],[Line_Total]]-tbl_ReceiptLines[[#This Row],[Discount_Info]]</f>
        <v>1.99</v>
      </c>
      <c r="L106" s="6">
        <f t="shared" si="1"/>
        <v>1.99</v>
      </c>
    </row>
    <row r="107" spans="1:12" hidden="1" x14ac:dyDescent="0.3">
      <c r="A107" t="s">
        <v>188</v>
      </c>
      <c r="B107" s="11" t="s">
        <v>385</v>
      </c>
      <c r="C107">
        <v>2</v>
      </c>
      <c r="D107" t="s">
        <v>387</v>
      </c>
      <c r="E107">
        <v>2</v>
      </c>
      <c r="F107" t="s">
        <v>330</v>
      </c>
      <c r="G107" s="6">
        <v>5.69</v>
      </c>
      <c r="H107" s="6">
        <v>11.38</v>
      </c>
      <c r="J107">
        <f>tbl_ReceiptLines[[#This Row],[Line_Total]]-tbl_ReceiptLines[[#This Row],[Discount_Info]]</f>
        <v>11.38</v>
      </c>
      <c r="L107" s="6">
        <f t="shared" si="1"/>
        <v>11.38</v>
      </c>
    </row>
    <row r="108" spans="1:12" hidden="1" x14ac:dyDescent="0.3">
      <c r="A108" t="s">
        <v>188</v>
      </c>
      <c r="B108" s="11" t="s">
        <v>385</v>
      </c>
      <c r="C108">
        <v>3</v>
      </c>
      <c r="D108" t="s">
        <v>388</v>
      </c>
      <c r="E108">
        <v>2</v>
      </c>
      <c r="G108" s="6">
        <v>1.5</v>
      </c>
      <c r="H108" s="6">
        <v>3</v>
      </c>
      <c r="J108">
        <f>tbl_ReceiptLines[[#This Row],[Line_Total]]-tbl_ReceiptLines[[#This Row],[Discount_Info]]</f>
        <v>3</v>
      </c>
      <c r="L108" s="6">
        <f t="shared" si="1"/>
        <v>3</v>
      </c>
    </row>
    <row r="109" spans="1:12" hidden="1" x14ac:dyDescent="0.3">
      <c r="A109" t="s">
        <v>188</v>
      </c>
      <c r="B109" s="11" t="s">
        <v>385</v>
      </c>
      <c r="C109">
        <v>4</v>
      </c>
      <c r="D109" t="s">
        <v>389</v>
      </c>
      <c r="E109">
        <v>1</v>
      </c>
      <c r="H109" s="6">
        <v>1.0900000000000001</v>
      </c>
      <c r="J109">
        <f>tbl_ReceiptLines[[#This Row],[Line_Total]]-tbl_ReceiptLines[[#This Row],[Discount_Info]]</f>
        <v>1.0900000000000001</v>
      </c>
      <c r="L109" s="6">
        <f t="shared" si="1"/>
        <v>1.0900000000000001</v>
      </c>
    </row>
    <row r="110" spans="1:12" hidden="1" x14ac:dyDescent="0.3">
      <c r="A110" t="s">
        <v>188</v>
      </c>
      <c r="B110" s="11" t="s">
        <v>385</v>
      </c>
      <c r="C110">
        <v>5</v>
      </c>
      <c r="D110" t="s">
        <v>390</v>
      </c>
      <c r="E110">
        <v>1</v>
      </c>
      <c r="H110" s="6">
        <v>3.81</v>
      </c>
      <c r="J110">
        <f>tbl_ReceiptLines[[#This Row],[Line_Total]]-tbl_ReceiptLines[[#This Row],[Discount_Info]]</f>
        <v>3.81</v>
      </c>
      <c r="L110" s="6">
        <f t="shared" si="1"/>
        <v>3.81</v>
      </c>
    </row>
    <row r="111" spans="1:12" hidden="1" x14ac:dyDescent="0.3">
      <c r="A111" t="s">
        <v>188</v>
      </c>
      <c r="B111" s="11" t="s">
        <v>385</v>
      </c>
      <c r="C111">
        <v>6</v>
      </c>
      <c r="D111" t="s">
        <v>391</v>
      </c>
      <c r="E111">
        <v>3</v>
      </c>
      <c r="G111" s="6">
        <v>1</v>
      </c>
      <c r="H111" s="6">
        <v>3</v>
      </c>
      <c r="J111">
        <f>tbl_ReceiptLines[[#This Row],[Line_Total]]-tbl_ReceiptLines[[#This Row],[Discount_Info]]</f>
        <v>3</v>
      </c>
      <c r="L111" s="6">
        <f t="shared" si="1"/>
        <v>3</v>
      </c>
    </row>
    <row r="112" spans="1:12" hidden="1" x14ac:dyDescent="0.3">
      <c r="A112" t="s">
        <v>188</v>
      </c>
      <c r="B112" s="11" t="s">
        <v>385</v>
      </c>
      <c r="C112">
        <v>7</v>
      </c>
      <c r="D112" t="s">
        <v>392</v>
      </c>
      <c r="E112">
        <v>1</v>
      </c>
      <c r="F112" t="s">
        <v>393</v>
      </c>
      <c r="H112" s="6">
        <v>0.87</v>
      </c>
      <c r="J112">
        <f>tbl_ReceiptLines[[#This Row],[Line_Total]]-tbl_ReceiptLines[[#This Row],[Discount_Info]]</f>
        <v>0.87</v>
      </c>
      <c r="L112" s="6">
        <f t="shared" si="1"/>
        <v>0.87</v>
      </c>
    </row>
    <row r="113" spans="1:12" hidden="1" x14ac:dyDescent="0.3">
      <c r="A113" t="s">
        <v>188</v>
      </c>
      <c r="B113" s="11" t="s">
        <v>385</v>
      </c>
      <c r="C113">
        <v>8</v>
      </c>
      <c r="D113" t="s">
        <v>394</v>
      </c>
      <c r="E113">
        <v>1</v>
      </c>
      <c r="H113" s="6">
        <v>2.29</v>
      </c>
      <c r="J113">
        <f>tbl_ReceiptLines[[#This Row],[Line_Total]]-tbl_ReceiptLines[[#This Row],[Discount_Info]]</f>
        <v>2.29</v>
      </c>
      <c r="L113" s="6">
        <f t="shared" si="1"/>
        <v>2.29</v>
      </c>
    </row>
    <row r="114" spans="1:12" hidden="1" x14ac:dyDescent="0.3">
      <c r="A114" t="s">
        <v>188</v>
      </c>
      <c r="B114" s="11" t="s">
        <v>385</v>
      </c>
      <c r="C114">
        <v>9</v>
      </c>
      <c r="D114" t="s">
        <v>395</v>
      </c>
      <c r="E114">
        <v>1</v>
      </c>
      <c r="H114" s="6">
        <v>1.99</v>
      </c>
      <c r="J114">
        <f>tbl_ReceiptLines[[#This Row],[Line_Total]]-tbl_ReceiptLines[[#This Row],[Discount_Info]]</f>
        <v>1.99</v>
      </c>
      <c r="L114" s="6">
        <f t="shared" si="1"/>
        <v>1.99</v>
      </c>
    </row>
    <row r="115" spans="1:12" hidden="1" x14ac:dyDescent="0.3">
      <c r="A115" t="s">
        <v>188</v>
      </c>
      <c r="B115" s="11" t="s">
        <v>385</v>
      </c>
      <c r="C115">
        <v>10</v>
      </c>
      <c r="D115" t="s">
        <v>396</v>
      </c>
      <c r="E115">
        <v>1</v>
      </c>
      <c r="H115" s="6">
        <v>1.05</v>
      </c>
      <c r="J115">
        <f>tbl_ReceiptLines[[#This Row],[Line_Total]]-tbl_ReceiptLines[[#This Row],[Discount_Info]]</f>
        <v>1.05</v>
      </c>
      <c r="L115" s="6">
        <f t="shared" si="1"/>
        <v>1.05</v>
      </c>
    </row>
    <row r="116" spans="1:12" hidden="1" x14ac:dyDescent="0.3">
      <c r="A116" t="s">
        <v>188</v>
      </c>
      <c r="B116" s="11" t="s">
        <v>385</v>
      </c>
      <c r="C116">
        <v>11</v>
      </c>
      <c r="D116" t="s">
        <v>397</v>
      </c>
      <c r="E116">
        <v>1</v>
      </c>
      <c r="H116" s="6">
        <v>0.99</v>
      </c>
      <c r="J116">
        <f>tbl_ReceiptLines[[#This Row],[Line_Total]]-tbl_ReceiptLines[[#This Row],[Discount_Info]]</f>
        <v>0.99</v>
      </c>
      <c r="L116" s="6">
        <f t="shared" si="1"/>
        <v>0.99</v>
      </c>
    </row>
    <row r="117" spans="1:12" hidden="1" x14ac:dyDescent="0.3">
      <c r="A117" t="s">
        <v>188</v>
      </c>
      <c r="B117" s="11" t="s">
        <v>385</v>
      </c>
      <c r="C117">
        <v>12</v>
      </c>
      <c r="D117" t="s">
        <v>258</v>
      </c>
      <c r="E117">
        <v>1</v>
      </c>
      <c r="H117" s="6">
        <v>0.89</v>
      </c>
      <c r="J117">
        <f>tbl_ReceiptLines[[#This Row],[Line_Total]]-tbl_ReceiptLines[[#This Row],[Discount_Info]]</f>
        <v>0.89</v>
      </c>
      <c r="L117" s="6">
        <f t="shared" si="1"/>
        <v>0.89</v>
      </c>
    </row>
    <row r="118" spans="1:12" hidden="1" x14ac:dyDescent="0.3">
      <c r="A118" t="s">
        <v>188</v>
      </c>
      <c r="B118" s="11" t="s">
        <v>385</v>
      </c>
      <c r="C118">
        <v>13</v>
      </c>
      <c r="D118" t="s">
        <v>398</v>
      </c>
      <c r="E118">
        <v>1</v>
      </c>
      <c r="H118" s="6">
        <v>2.59</v>
      </c>
      <c r="J118">
        <f>tbl_ReceiptLines[[#This Row],[Line_Total]]-tbl_ReceiptLines[[#This Row],[Discount_Info]]</f>
        <v>2.59</v>
      </c>
      <c r="L118" s="6">
        <f t="shared" si="1"/>
        <v>2.59</v>
      </c>
    </row>
    <row r="119" spans="1:12" hidden="1" x14ac:dyDescent="0.3">
      <c r="A119" t="s">
        <v>188</v>
      </c>
      <c r="B119" s="11" t="s">
        <v>385</v>
      </c>
      <c r="C119">
        <v>14</v>
      </c>
      <c r="D119" t="s">
        <v>399</v>
      </c>
      <c r="E119">
        <v>1</v>
      </c>
      <c r="H119" s="6">
        <v>0.88</v>
      </c>
      <c r="J119">
        <f>tbl_ReceiptLines[[#This Row],[Line_Total]]-tbl_ReceiptLines[[#This Row],[Discount_Info]]</f>
        <v>0.88</v>
      </c>
      <c r="L119" s="6">
        <f t="shared" si="1"/>
        <v>0.88</v>
      </c>
    </row>
    <row r="120" spans="1:12" hidden="1" x14ac:dyDescent="0.3">
      <c r="A120" t="s">
        <v>188</v>
      </c>
      <c r="B120" s="11" t="s">
        <v>385</v>
      </c>
      <c r="C120">
        <v>15</v>
      </c>
      <c r="D120" t="s">
        <v>400</v>
      </c>
      <c r="E120">
        <v>1</v>
      </c>
      <c r="H120" s="6">
        <v>15.99</v>
      </c>
      <c r="J120">
        <f>tbl_ReceiptLines[[#This Row],[Line_Total]]-tbl_ReceiptLines[[#This Row],[Discount_Info]]</f>
        <v>15.99</v>
      </c>
      <c r="L120" s="6">
        <f t="shared" si="1"/>
        <v>15.99</v>
      </c>
    </row>
    <row r="121" spans="1:12" hidden="1" x14ac:dyDescent="0.3">
      <c r="A121" t="s">
        <v>188</v>
      </c>
      <c r="B121" s="11" t="s">
        <v>385</v>
      </c>
      <c r="C121">
        <v>16</v>
      </c>
      <c r="D121" t="s">
        <v>401</v>
      </c>
      <c r="E121">
        <v>51</v>
      </c>
      <c r="G121" s="6">
        <v>0.1</v>
      </c>
      <c r="H121" s="6">
        <v>5.0999999999999996</v>
      </c>
      <c r="J121">
        <f>tbl_ReceiptLines[[#This Row],[Line_Total]]-tbl_ReceiptLines[[#This Row],[Discount_Info]]</f>
        <v>5.0999999999999996</v>
      </c>
      <c r="L121" s="6">
        <f t="shared" si="1"/>
        <v>5.0999999999999996</v>
      </c>
    </row>
    <row r="122" spans="1:12" hidden="1" x14ac:dyDescent="0.3">
      <c r="A122" t="s">
        <v>196</v>
      </c>
      <c r="B122" s="11" t="s">
        <v>402</v>
      </c>
      <c r="C122">
        <v>1</v>
      </c>
      <c r="D122" t="s">
        <v>403</v>
      </c>
      <c r="E122">
        <v>1</v>
      </c>
      <c r="G122" s="6">
        <f>L122/E122</f>
        <v>0</v>
      </c>
      <c r="H122" s="6">
        <v>1.65</v>
      </c>
      <c r="J122">
        <f>tbl_ReceiptLines[[#This Row],[Line_Total]]-tbl_ReceiptLines[[#This Row],[Discount_Info]]</f>
        <v>0</v>
      </c>
      <c r="K122" s="6">
        <v>1.65</v>
      </c>
      <c r="L122" s="6">
        <f>tbl_ReceiptLines[[#This Row],[Line_Total]]-tbl_ReceiptLines[[#This Row],[Discount_Info]]</f>
        <v>0</v>
      </c>
    </row>
    <row r="123" spans="1:12" hidden="1" x14ac:dyDescent="0.3">
      <c r="A123" t="s">
        <v>203</v>
      </c>
      <c r="B123" s="11" t="s">
        <v>204</v>
      </c>
      <c r="C123">
        <v>1</v>
      </c>
      <c r="D123" t="s">
        <v>404</v>
      </c>
      <c r="E123">
        <v>2</v>
      </c>
      <c r="G123" s="6">
        <f>L123/E123</f>
        <v>0.98999999999999988</v>
      </c>
      <c r="H123" s="6">
        <v>2.78</v>
      </c>
      <c r="J123">
        <f>tbl_ReceiptLines[[#This Row],[Line_Total]]-tbl_ReceiptLines[[#This Row],[Discount_Info]]</f>
        <v>1.9799999999999998</v>
      </c>
      <c r="K123" s="6">
        <v>0.8</v>
      </c>
      <c r="L123" s="6">
        <f t="shared" ref="L123:L167" si="2">H123-K123</f>
        <v>1.9799999999999998</v>
      </c>
    </row>
    <row r="124" spans="1:12" hidden="1" x14ac:dyDescent="0.3">
      <c r="A124" t="s">
        <v>203</v>
      </c>
      <c r="B124" s="11" t="s">
        <v>204</v>
      </c>
      <c r="C124">
        <v>2</v>
      </c>
      <c r="D124" t="s">
        <v>405</v>
      </c>
      <c r="E124">
        <v>1</v>
      </c>
      <c r="H124" s="6">
        <v>1.19</v>
      </c>
      <c r="J124">
        <f>tbl_ReceiptLines[[#This Row],[Line_Total]]-tbl_ReceiptLines[[#This Row],[Discount_Info]]</f>
        <v>1.19</v>
      </c>
      <c r="L124" s="6">
        <f t="shared" si="2"/>
        <v>1.19</v>
      </c>
    </row>
    <row r="125" spans="1:12" hidden="1" x14ac:dyDescent="0.3">
      <c r="A125" t="s">
        <v>203</v>
      </c>
      <c r="B125" s="11" t="s">
        <v>204</v>
      </c>
      <c r="C125">
        <v>3</v>
      </c>
      <c r="D125" t="s">
        <v>406</v>
      </c>
      <c r="E125">
        <v>1</v>
      </c>
      <c r="H125" s="6">
        <v>3.25</v>
      </c>
      <c r="J125">
        <f>tbl_ReceiptLines[[#This Row],[Line_Total]]-tbl_ReceiptLines[[#This Row],[Discount_Info]]</f>
        <v>3.25</v>
      </c>
      <c r="L125" s="6">
        <f t="shared" si="2"/>
        <v>3.25</v>
      </c>
    </row>
    <row r="126" spans="1:12" hidden="1" x14ac:dyDescent="0.3">
      <c r="A126" t="s">
        <v>203</v>
      </c>
      <c r="B126" s="11" t="s">
        <v>204</v>
      </c>
      <c r="C126">
        <v>4</v>
      </c>
      <c r="D126" t="s">
        <v>407</v>
      </c>
      <c r="E126">
        <v>1</v>
      </c>
      <c r="H126" s="6">
        <v>1.69</v>
      </c>
      <c r="J126">
        <f>tbl_ReceiptLines[[#This Row],[Line_Total]]-tbl_ReceiptLines[[#This Row],[Discount_Info]]</f>
        <v>1.69</v>
      </c>
      <c r="L126" s="6">
        <f t="shared" si="2"/>
        <v>1.69</v>
      </c>
    </row>
    <row r="127" spans="1:12" hidden="1" x14ac:dyDescent="0.3">
      <c r="A127" t="s">
        <v>203</v>
      </c>
      <c r="B127" s="11" t="s">
        <v>204</v>
      </c>
      <c r="C127">
        <v>5</v>
      </c>
      <c r="D127" t="s">
        <v>408</v>
      </c>
      <c r="E127">
        <v>1</v>
      </c>
      <c r="H127" s="6">
        <v>2.99</v>
      </c>
      <c r="J127">
        <f>tbl_ReceiptLines[[#This Row],[Line_Total]]-tbl_ReceiptLines[[#This Row],[Discount_Info]]</f>
        <v>2.99</v>
      </c>
      <c r="L127" s="6">
        <f t="shared" si="2"/>
        <v>2.99</v>
      </c>
    </row>
    <row r="128" spans="1:12" hidden="1" x14ac:dyDescent="0.3">
      <c r="A128" t="s">
        <v>203</v>
      </c>
      <c r="B128" s="11" t="s">
        <v>204</v>
      </c>
      <c r="C128">
        <v>6</v>
      </c>
      <c r="D128" t="s">
        <v>409</v>
      </c>
      <c r="E128">
        <v>1</v>
      </c>
      <c r="H128" s="6">
        <v>4.79</v>
      </c>
      <c r="J128">
        <f>tbl_ReceiptLines[[#This Row],[Line_Total]]-tbl_ReceiptLines[[#This Row],[Discount_Info]]</f>
        <v>4.79</v>
      </c>
      <c r="L128" s="6">
        <f t="shared" si="2"/>
        <v>4.79</v>
      </c>
    </row>
    <row r="129" spans="1:12" hidden="1" x14ac:dyDescent="0.3">
      <c r="A129" t="s">
        <v>203</v>
      </c>
      <c r="B129" s="11" t="s">
        <v>204</v>
      </c>
      <c r="C129">
        <v>7</v>
      </c>
      <c r="D129" t="s">
        <v>410</v>
      </c>
      <c r="E129">
        <v>1</v>
      </c>
      <c r="H129" s="6">
        <v>4.99</v>
      </c>
      <c r="J129">
        <f>tbl_ReceiptLines[[#This Row],[Line_Total]]-tbl_ReceiptLines[[#This Row],[Discount_Info]]</f>
        <v>4.99</v>
      </c>
      <c r="L129" s="6">
        <f t="shared" si="2"/>
        <v>4.99</v>
      </c>
    </row>
    <row r="130" spans="1:12" hidden="1" x14ac:dyDescent="0.3">
      <c r="A130" t="s">
        <v>203</v>
      </c>
      <c r="B130" s="11" t="s">
        <v>204</v>
      </c>
      <c r="C130">
        <v>8</v>
      </c>
      <c r="D130" t="s">
        <v>411</v>
      </c>
      <c r="E130">
        <v>1</v>
      </c>
      <c r="H130" s="6">
        <v>2.99</v>
      </c>
      <c r="J130">
        <f>tbl_ReceiptLines[[#This Row],[Line_Total]]-tbl_ReceiptLines[[#This Row],[Discount_Info]]</f>
        <v>2.99</v>
      </c>
      <c r="L130" s="6">
        <f t="shared" si="2"/>
        <v>2.99</v>
      </c>
    </row>
    <row r="131" spans="1:12" hidden="1" x14ac:dyDescent="0.3">
      <c r="A131" t="s">
        <v>203</v>
      </c>
      <c r="B131" s="11" t="s">
        <v>204</v>
      </c>
      <c r="C131">
        <v>9</v>
      </c>
      <c r="D131" t="s">
        <v>412</v>
      </c>
      <c r="E131">
        <v>1</v>
      </c>
      <c r="H131" s="6">
        <v>3.49</v>
      </c>
      <c r="J131">
        <f>tbl_ReceiptLines[[#This Row],[Line_Total]]-tbl_ReceiptLines[[#This Row],[Discount_Info]]</f>
        <v>3.49</v>
      </c>
      <c r="L131" s="6">
        <f t="shared" si="2"/>
        <v>3.49</v>
      </c>
    </row>
    <row r="132" spans="1:12" hidden="1" x14ac:dyDescent="0.3">
      <c r="A132" t="s">
        <v>203</v>
      </c>
      <c r="B132" s="11" t="s">
        <v>204</v>
      </c>
      <c r="C132">
        <v>10</v>
      </c>
      <c r="D132" t="s">
        <v>413</v>
      </c>
      <c r="E132">
        <v>1</v>
      </c>
      <c r="H132" s="6">
        <v>1.79</v>
      </c>
      <c r="J132">
        <f>tbl_ReceiptLines[[#This Row],[Line_Total]]-tbl_ReceiptLines[[#This Row],[Discount_Info]]</f>
        <v>1.79</v>
      </c>
      <c r="L132" s="6">
        <f t="shared" si="2"/>
        <v>1.79</v>
      </c>
    </row>
    <row r="133" spans="1:12" hidden="1" x14ac:dyDescent="0.3">
      <c r="A133" t="s">
        <v>203</v>
      </c>
      <c r="B133" s="11" t="s">
        <v>204</v>
      </c>
      <c r="C133">
        <v>11</v>
      </c>
      <c r="D133" t="s">
        <v>414</v>
      </c>
      <c r="E133">
        <v>3</v>
      </c>
      <c r="G133" s="6">
        <v>0.59</v>
      </c>
      <c r="H133" s="6">
        <v>1.77</v>
      </c>
      <c r="J133">
        <f>tbl_ReceiptLines[[#This Row],[Line_Total]]-tbl_ReceiptLines[[#This Row],[Discount_Info]]</f>
        <v>1.77</v>
      </c>
      <c r="L133" s="6">
        <f t="shared" si="2"/>
        <v>1.77</v>
      </c>
    </row>
    <row r="134" spans="1:12" hidden="1" x14ac:dyDescent="0.3">
      <c r="A134" t="s">
        <v>203</v>
      </c>
      <c r="B134" s="11" t="s">
        <v>204</v>
      </c>
      <c r="C134">
        <v>12</v>
      </c>
      <c r="D134" t="s">
        <v>415</v>
      </c>
      <c r="E134">
        <v>1</v>
      </c>
      <c r="H134" s="6">
        <v>2.89</v>
      </c>
      <c r="J134">
        <f>tbl_ReceiptLines[[#This Row],[Line_Total]]-tbl_ReceiptLines[[#This Row],[Discount_Info]]</f>
        <v>2.89</v>
      </c>
      <c r="L134" s="6">
        <f t="shared" si="2"/>
        <v>2.89</v>
      </c>
    </row>
    <row r="135" spans="1:12" hidden="1" x14ac:dyDescent="0.3">
      <c r="A135" t="s">
        <v>203</v>
      </c>
      <c r="B135" s="11" t="s">
        <v>204</v>
      </c>
      <c r="C135">
        <v>13</v>
      </c>
      <c r="D135" t="s">
        <v>416</v>
      </c>
      <c r="E135">
        <v>1</v>
      </c>
      <c r="F135" t="s">
        <v>311</v>
      </c>
      <c r="H135" s="6">
        <v>1.69</v>
      </c>
      <c r="J135">
        <f>tbl_ReceiptLines[[#This Row],[Line_Total]]-tbl_ReceiptLines[[#This Row],[Discount_Info]]</f>
        <v>1.69</v>
      </c>
      <c r="L135" s="6">
        <f t="shared" si="2"/>
        <v>1.69</v>
      </c>
    </row>
    <row r="136" spans="1:12" hidden="1" x14ac:dyDescent="0.3">
      <c r="A136" t="s">
        <v>203</v>
      </c>
      <c r="B136" s="11" t="s">
        <v>204</v>
      </c>
      <c r="C136">
        <v>14</v>
      </c>
      <c r="D136" t="s">
        <v>417</v>
      </c>
      <c r="E136">
        <v>1</v>
      </c>
      <c r="H136" s="6">
        <v>1.89</v>
      </c>
      <c r="J136">
        <f>tbl_ReceiptLines[[#This Row],[Line_Total]]-tbl_ReceiptLines[[#This Row],[Discount_Info]]</f>
        <v>1.89</v>
      </c>
      <c r="L136" s="6">
        <f t="shared" si="2"/>
        <v>1.89</v>
      </c>
    </row>
    <row r="137" spans="1:12" hidden="1" x14ac:dyDescent="0.3">
      <c r="A137" t="s">
        <v>203</v>
      </c>
      <c r="B137" s="11" t="s">
        <v>204</v>
      </c>
      <c r="C137">
        <v>15</v>
      </c>
      <c r="D137" t="s">
        <v>418</v>
      </c>
      <c r="E137">
        <v>1</v>
      </c>
      <c r="H137" s="6">
        <v>1.49</v>
      </c>
      <c r="J137">
        <f>tbl_ReceiptLines[[#This Row],[Line_Total]]-tbl_ReceiptLines[[#This Row],[Discount_Info]]</f>
        <v>1.49</v>
      </c>
      <c r="L137" s="6">
        <f t="shared" si="2"/>
        <v>1.49</v>
      </c>
    </row>
    <row r="138" spans="1:12" hidden="1" x14ac:dyDescent="0.3">
      <c r="A138" t="s">
        <v>203</v>
      </c>
      <c r="B138" s="11" t="s">
        <v>204</v>
      </c>
      <c r="C138">
        <v>16</v>
      </c>
      <c r="D138" t="s">
        <v>262</v>
      </c>
      <c r="E138">
        <v>1</v>
      </c>
      <c r="H138" s="6">
        <v>0.28999999999999998</v>
      </c>
      <c r="J138">
        <f>tbl_ReceiptLines[[#This Row],[Line_Total]]-tbl_ReceiptLines[[#This Row],[Discount_Info]]</f>
        <v>0.28999999999999998</v>
      </c>
      <c r="L138" s="6">
        <f t="shared" si="2"/>
        <v>0.28999999999999998</v>
      </c>
    </row>
    <row r="139" spans="1:12" hidden="1" x14ac:dyDescent="0.3">
      <c r="A139" t="s">
        <v>203</v>
      </c>
      <c r="B139" s="11" t="s">
        <v>204</v>
      </c>
      <c r="C139">
        <v>17</v>
      </c>
      <c r="D139" t="s">
        <v>419</v>
      </c>
      <c r="E139">
        <v>2</v>
      </c>
      <c r="G139" s="6">
        <v>0.79</v>
      </c>
      <c r="H139" s="6">
        <v>1.58</v>
      </c>
      <c r="J139">
        <f>tbl_ReceiptLines[[#This Row],[Line_Total]]-tbl_ReceiptLines[[#This Row],[Discount_Info]]</f>
        <v>1.58</v>
      </c>
      <c r="L139" s="6">
        <f t="shared" si="2"/>
        <v>1.58</v>
      </c>
    </row>
    <row r="140" spans="1:12" hidden="1" x14ac:dyDescent="0.3">
      <c r="A140" t="s">
        <v>210</v>
      </c>
      <c r="B140" s="11" t="s">
        <v>211</v>
      </c>
      <c r="C140">
        <v>1</v>
      </c>
      <c r="D140" t="s">
        <v>420</v>
      </c>
      <c r="E140">
        <v>1</v>
      </c>
      <c r="F140" t="s">
        <v>421</v>
      </c>
      <c r="G140" s="6">
        <v>2.65</v>
      </c>
      <c r="H140" s="6">
        <v>3.24</v>
      </c>
      <c r="J140">
        <f>tbl_ReceiptLines[[#This Row],[Line_Total]]-tbl_ReceiptLines[[#This Row],[Discount_Info]]</f>
        <v>2.0700000000000003</v>
      </c>
      <c r="K140" s="6">
        <v>1.17</v>
      </c>
      <c r="L140" s="6">
        <f t="shared" si="2"/>
        <v>2.0700000000000003</v>
      </c>
    </row>
    <row r="141" spans="1:12" hidden="1" x14ac:dyDescent="0.3">
      <c r="A141" t="s">
        <v>210</v>
      </c>
      <c r="B141" s="11" t="s">
        <v>211</v>
      </c>
      <c r="C141">
        <v>2</v>
      </c>
      <c r="D141" t="s">
        <v>422</v>
      </c>
      <c r="E141">
        <v>1</v>
      </c>
      <c r="H141" s="6">
        <v>1.29</v>
      </c>
      <c r="J141">
        <f>tbl_ReceiptLines[[#This Row],[Line_Total]]-tbl_ReceiptLines[[#This Row],[Discount_Info]]</f>
        <v>1.29</v>
      </c>
      <c r="L141" s="6">
        <f t="shared" si="2"/>
        <v>1.29</v>
      </c>
    </row>
    <row r="142" spans="1:12" hidden="1" x14ac:dyDescent="0.3">
      <c r="A142" t="s">
        <v>210</v>
      </c>
      <c r="B142" s="11" t="s">
        <v>211</v>
      </c>
      <c r="C142">
        <v>3</v>
      </c>
      <c r="D142" t="s">
        <v>423</v>
      </c>
      <c r="E142">
        <v>1</v>
      </c>
      <c r="H142" s="6">
        <v>0.89</v>
      </c>
      <c r="J142">
        <f>tbl_ReceiptLines[[#This Row],[Line_Total]]-tbl_ReceiptLines[[#This Row],[Discount_Info]]</f>
        <v>0.89</v>
      </c>
      <c r="L142" s="6">
        <f t="shared" si="2"/>
        <v>0.89</v>
      </c>
    </row>
    <row r="143" spans="1:12" hidden="1" x14ac:dyDescent="0.3">
      <c r="A143" t="s">
        <v>210</v>
      </c>
      <c r="B143" s="11" t="s">
        <v>211</v>
      </c>
      <c r="C143">
        <v>4</v>
      </c>
      <c r="D143" t="s">
        <v>424</v>
      </c>
      <c r="E143">
        <v>1</v>
      </c>
      <c r="H143" s="6">
        <v>0.89</v>
      </c>
      <c r="J143">
        <f>tbl_ReceiptLines[[#This Row],[Line_Total]]-tbl_ReceiptLines[[#This Row],[Discount_Info]]</f>
        <v>0.89</v>
      </c>
      <c r="L143" s="6">
        <f t="shared" si="2"/>
        <v>0.89</v>
      </c>
    </row>
    <row r="144" spans="1:12" hidden="1" x14ac:dyDescent="0.3">
      <c r="A144" t="s">
        <v>210</v>
      </c>
      <c r="B144" s="11" t="s">
        <v>211</v>
      </c>
      <c r="C144">
        <v>5</v>
      </c>
      <c r="D144" t="s">
        <v>425</v>
      </c>
      <c r="E144">
        <v>1</v>
      </c>
      <c r="H144" s="6">
        <v>1.49</v>
      </c>
      <c r="J144">
        <f>tbl_ReceiptLines[[#This Row],[Line_Total]]-tbl_ReceiptLines[[#This Row],[Discount_Info]]</f>
        <v>1.49</v>
      </c>
      <c r="L144" s="6">
        <f t="shared" si="2"/>
        <v>1.49</v>
      </c>
    </row>
    <row r="145" spans="1:12" hidden="1" x14ac:dyDescent="0.3">
      <c r="A145" t="s">
        <v>210</v>
      </c>
      <c r="B145" s="11" t="s">
        <v>211</v>
      </c>
      <c r="C145">
        <v>6</v>
      </c>
      <c r="D145" t="s">
        <v>426</v>
      </c>
      <c r="E145">
        <v>1</v>
      </c>
      <c r="H145" s="6">
        <v>0.89</v>
      </c>
      <c r="J145">
        <f>tbl_ReceiptLines[[#This Row],[Line_Total]]-tbl_ReceiptLines[[#This Row],[Discount_Info]]</f>
        <v>0.89</v>
      </c>
      <c r="L145" s="6">
        <f t="shared" si="2"/>
        <v>0.89</v>
      </c>
    </row>
    <row r="146" spans="1:12" hidden="1" x14ac:dyDescent="0.3">
      <c r="A146" t="s">
        <v>210</v>
      </c>
      <c r="B146" s="11" t="s">
        <v>211</v>
      </c>
      <c r="C146">
        <v>7</v>
      </c>
      <c r="D146" t="s">
        <v>427</v>
      </c>
      <c r="E146">
        <v>1</v>
      </c>
      <c r="H146" s="6">
        <v>2.39</v>
      </c>
      <c r="J146">
        <f>tbl_ReceiptLines[[#This Row],[Line_Total]]-tbl_ReceiptLines[[#This Row],[Discount_Info]]</f>
        <v>2.39</v>
      </c>
      <c r="L146" s="6">
        <f t="shared" si="2"/>
        <v>2.39</v>
      </c>
    </row>
    <row r="147" spans="1:12" hidden="1" x14ac:dyDescent="0.3">
      <c r="A147" t="s">
        <v>210</v>
      </c>
      <c r="B147" s="11" t="s">
        <v>211</v>
      </c>
      <c r="C147">
        <v>8</v>
      </c>
      <c r="D147" t="s">
        <v>428</v>
      </c>
      <c r="E147">
        <v>1</v>
      </c>
      <c r="H147" s="6">
        <v>1.49</v>
      </c>
      <c r="J147">
        <f>tbl_ReceiptLines[[#This Row],[Line_Total]]-tbl_ReceiptLines[[#This Row],[Discount_Info]]</f>
        <v>1.49</v>
      </c>
      <c r="L147" s="6">
        <f t="shared" si="2"/>
        <v>1.49</v>
      </c>
    </row>
    <row r="148" spans="1:12" hidden="1" x14ac:dyDescent="0.3">
      <c r="A148" t="s">
        <v>210</v>
      </c>
      <c r="B148" s="11" t="s">
        <v>211</v>
      </c>
      <c r="C148">
        <v>9</v>
      </c>
      <c r="D148" t="s">
        <v>410</v>
      </c>
      <c r="E148">
        <v>2</v>
      </c>
      <c r="G148" s="6">
        <v>4.99</v>
      </c>
      <c r="H148" s="6">
        <v>9.98</v>
      </c>
      <c r="J148">
        <f>tbl_ReceiptLines[[#This Row],[Line_Total]]-tbl_ReceiptLines[[#This Row],[Discount_Info]]</f>
        <v>9.98</v>
      </c>
      <c r="L148" s="6">
        <f t="shared" si="2"/>
        <v>9.98</v>
      </c>
    </row>
    <row r="149" spans="1:12" hidden="1" x14ac:dyDescent="0.3">
      <c r="A149" t="s">
        <v>210</v>
      </c>
      <c r="B149" s="11" t="s">
        <v>211</v>
      </c>
      <c r="C149">
        <v>10</v>
      </c>
      <c r="D149" t="s">
        <v>429</v>
      </c>
      <c r="E149">
        <v>1</v>
      </c>
      <c r="H149" s="6">
        <v>2.59</v>
      </c>
      <c r="J149">
        <f>tbl_ReceiptLines[[#This Row],[Line_Total]]-tbl_ReceiptLines[[#This Row],[Discount_Info]]</f>
        <v>2.59</v>
      </c>
      <c r="L149" s="6">
        <f t="shared" si="2"/>
        <v>2.59</v>
      </c>
    </row>
    <row r="150" spans="1:12" hidden="1" x14ac:dyDescent="0.3">
      <c r="A150" t="s">
        <v>210</v>
      </c>
      <c r="B150" s="11" t="s">
        <v>211</v>
      </c>
      <c r="C150">
        <v>11</v>
      </c>
      <c r="D150" t="s">
        <v>430</v>
      </c>
      <c r="E150">
        <v>1</v>
      </c>
      <c r="H150" s="6">
        <v>1.79</v>
      </c>
      <c r="J150">
        <f>tbl_ReceiptLines[[#This Row],[Line_Total]]-tbl_ReceiptLines[[#This Row],[Discount_Info]]</f>
        <v>1.79</v>
      </c>
      <c r="L150" s="6">
        <f t="shared" si="2"/>
        <v>1.79</v>
      </c>
    </row>
    <row r="151" spans="1:12" hidden="1" x14ac:dyDescent="0.3">
      <c r="A151" t="s">
        <v>210</v>
      </c>
      <c r="B151" s="11" t="s">
        <v>211</v>
      </c>
      <c r="C151">
        <v>12</v>
      </c>
      <c r="D151" t="s">
        <v>258</v>
      </c>
      <c r="E151">
        <v>2</v>
      </c>
      <c r="G151" s="6">
        <v>0.79</v>
      </c>
      <c r="H151" s="6">
        <v>1.58</v>
      </c>
      <c r="J151">
        <f>tbl_ReceiptLines[[#This Row],[Line_Total]]-tbl_ReceiptLines[[#This Row],[Discount_Info]]</f>
        <v>1.58</v>
      </c>
      <c r="L151" s="6">
        <f t="shared" si="2"/>
        <v>1.58</v>
      </c>
    </row>
    <row r="152" spans="1:12" hidden="1" x14ac:dyDescent="0.3">
      <c r="A152" t="s">
        <v>210</v>
      </c>
      <c r="B152" s="11" t="s">
        <v>211</v>
      </c>
      <c r="C152">
        <v>13</v>
      </c>
      <c r="D152" t="s">
        <v>431</v>
      </c>
      <c r="E152">
        <v>1</v>
      </c>
      <c r="H152" s="6">
        <v>1.69</v>
      </c>
      <c r="J152">
        <f>tbl_ReceiptLines[[#This Row],[Line_Total]]-tbl_ReceiptLines[[#This Row],[Discount_Info]]</f>
        <v>1.69</v>
      </c>
      <c r="L152" s="6">
        <f t="shared" si="2"/>
        <v>1.69</v>
      </c>
    </row>
    <row r="153" spans="1:12" hidden="1" x14ac:dyDescent="0.3">
      <c r="A153" t="s">
        <v>210</v>
      </c>
      <c r="B153" s="11" t="s">
        <v>211</v>
      </c>
      <c r="C153">
        <v>14</v>
      </c>
      <c r="D153" t="s">
        <v>432</v>
      </c>
      <c r="E153">
        <v>1</v>
      </c>
      <c r="H153" s="6">
        <v>0.99</v>
      </c>
      <c r="J153">
        <f>tbl_ReceiptLines[[#This Row],[Line_Total]]-tbl_ReceiptLines[[#This Row],[Discount_Info]]</f>
        <v>0.99</v>
      </c>
      <c r="L153" s="6">
        <f t="shared" si="2"/>
        <v>0.99</v>
      </c>
    </row>
    <row r="154" spans="1:12" hidden="1" x14ac:dyDescent="0.3">
      <c r="A154" t="s">
        <v>210</v>
      </c>
      <c r="B154" s="11" t="s">
        <v>211</v>
      </c>
      <c r="C154">
        <v>15</v>
      </c>
      <c r="D154" t="s">
        <v>433</v>
      </c>
      <c r="E154">
        <v>2</v>
      </c>
      <c r="G154" s="6">
        <v>0.57999999999999996</v>
      </c>
      <c r="H154" s="6">
        <v>1.1599999999999999</v>
      </c>
      <c r="J154">
        <f>tbl_ReceiptLines[[#This Row],[Line_Total]]-tbl_ReceiptLines[[#This Row],[Discount_Info]]</f>
        <v>1.1599999999999999</v>
      </c>
      <c r="L154" s="6">
        <f t="shared" si="2"/>
        <v>1.1599999999999999</v>
      </c>
    </row>
    <row r="155" spans="1:12" hidden="1" x14ac:dyDescent="0.3">
      <c r="A155" t="s">
        <v>210</v>
      </c>
      <c r="B155" s="11" t="s">
        <v>211</v>
      </c>
      <c r="C155">
        <v>16</v>
      </c>
      <c r="D155" t="s">
        <v>434</v>
      </c>
      <c r="E155">
        <v>2</v>
      </c>
      <c r="G155" s="6">
        <v>0.49</v>
      </c>
      <c r="H155" s="6">
        <v>0.98</v>
      </c>
      <c r="J155">
        <f>tbl_ReceiptLines[[#This Row],[Line_Total]]-tbl_ReceiptLines[[#This Row],[Discount_Info]]</f>
        <v>0.98</v>
      </c>
      <c r="L155" s="6">
        <f t="shared" si="2"/>
        <v>0.98</v>
      </c>
    </row>
    <row r="156" spans="1:12" hidden="1" x14ac:dyDescent="0.3">
      <c r="A156" t="s">
        <v>210</v>
      </c>
      <c r="B156" s="11" t="s">
        <v>211</v>
      </c>
      <c r="C156">
        <v>17</v>
      </c>
      <c r="D156" t="s">
        <v>435</v>
      </c>
      <c r="E156">
        <v>2</v>
      </c>
      <c r="G156" s="6">
        <v>0.99</v>
      </c>
      <c r="H156" s="6">
        <v>1.98</v>
      </c>
      <c r="J156">
        <f>tbl_ReceiptLines[[#This Row],[Line_Total]]-tbl_ReceiptLines[[#This Row],[Discount_Info]]</f>
        <v>1.98</v>
      </c>
      <c r="L156" s="6">
        <f t="shared" si="2"/>
        <v>1.98</v>
      </c>
    </row>
    <row r="157" spans="1:12" hidden="1" x14ac:dyDescent="0.3">
      <c r="A157" t="s">
        <v>215</v>
      </c>
      <c r="B157" s="11" t="s">
        <v>216</v>
      </c>
      <c r="C157">
        <v>1</v>
      </c>
      <c r="D157" t="s">
        <v>436</v>
      </c>
      <c r="E157">
        <v>1</v>
      </c>
      <c r="G157" s="6">
        <f t="shared" ref="G157:G167" si="3">L157/E157</f>
        <v>199</v>
      </c>
      <c r="H157" s="6">
        <v>199</v>
      </c>
      <c r="J157">
        <f>tbl_ReceiptLines[[#This Row],[Line_Total]]-tbl_ReceiptLines[[#This Row],[Discount_Info]]</f>
        <v>199</v>
      </c>
      <c r="L157" s="6">
        <f t="shared" si="2"/>
        <v>199</v>
      </c>
    </row>
    <row r="158" spans="1:12" hidden="1" x14ac:dyDescent="0.3">
      <c r="A158" t="s">
        <v>215</v>
      </c>
      <c r="B158" s="11" t="s">
        <v>216</v>
      </c>
      <c r="C158">
        <v>2</v>
      </c>
      <c r="D158" t="s">
        <v>299</v>
      </c>
      <c r="E158">
        <v>1</v>
      </c>
      <c r="G158" s="6">
        <f t="shared" si="3"/>
        <v>4.95</v>
      </c>
      <c r="H158" s="6">
        <v>4.95</v>
      </c>
      <c r="J158">
        <f>tbl_ReceiptLines[[#This Row],[Line_Total]]-tbl_ReceiptLines[[#This Row],[Discount_Info]]</f>
        <v>4.95</v>
      </c>
      <c r="L158" s="6">
        <f t="shared" si="2"/>
        <v>4.95</v>
      </c>
    </row>
    <row r="159" spans="1:12" hidden="1" x14ac:dyDescent="0.3">
      <c r="A159" t="s">
        <v>220</v>
      </c>
      <c r="B159" s="11" t="s">
        <v>221</v>
      </c>
      <c r="C159">
        <v>1</v>
      </c>
      <c r="D159" t="s">
        <v>437</v>
      </c>
      <c r="E159">
        <v>1</v>
      </c>
      <c r="G159" s="6">
        <f t="shared" si="3"/>
        <v>479</v>
      </c>
      <c r="H159" s="6">
        <v>479</v>
      </c>
      <c r="J159">
        <f>tbl_ReceiptLines[[#This Row],[Line_Total]]-tbl_ReceiptLines[[#This Row],[Discount_Info]]</f>
        <v>479</v>
      </c>
      <c r="L159" s="6">
        <f t="shared" si="2"/>
        <v>479</v>
      </c>
    </row>
    <row r="160" spans="1:12" hidden="1" x14ac:dyDescent="0.3">
      <c r="A160" t="s">
        <v>223</v>
      </c>
      <c r="B160" s="11" t="s">
        <v>224</v>
      </c>
      <c r="C160">
        <v>1</v>
      </c>
      <c r="D160" t="s">
        <v>438</v>
      </c>
      <c r="E160">
        <v>1</v>
      </c>
      <c r="G160" s="6">
        <f t="shared" si="3"/>
        <v>2.99</v>
      </c>
      <c r="H160" s="6">
        <v>2.99</v>
      </c>
      <c r="I160" t="s">
        <v>439</v>
      </c>
      <c r="J160">
        <f>tbl_ReceiptLines[[#This Row],[Line_Total]]-tbl_ReceiptLines[[#This Row],[Discount_Info]]</f>
        <v>2.99</v>
      </c>
      <c r="L160" s="6">
        <f t="shared" si="2"/>
        <v>2.99</v>
      </c>
    </row>
    <row r="161" spans="1:12" hidden="1" x14ac:dyDescent="0.3">
      <c r="A161" t="s">
        <v>223</v>
      </c>
      <c r="B161" s="11" t="s">
        <v>224</v>
      </c>
      <c r="C161">
        <v>2</v>
      </c>
      <c r="D161" t="s">
        <v>440</v>
      </c>
      <c r="E161">
        <v>1</v>
      </c>
      <c r="G161" s="6">
        <f t="shared" si="3"/>
        <v>2.99</v>
      </c>
      <c r="H161" s="6">
        <v>2.99</v>
      </c>
      <c r="I161" t="s">
        <v>441</v>
      </c>
      <c r="J161">
        <f>tbl_ReceiptLines[[#This Row],[Line_Total]]-tbl_ReceiptLines[[#This Row],[Discount_Info]]</f>
        <v>2.99</v>
      </c>
      <c r="L161" s="6">
        <f t="shared" si="2"/>
        <v>2.99</v>
      </c>
    </row>
    <row r="162" spans="1:12" hidden="1" x14ac:dyDescent="0.3">
      <c r="A162" t="s">
        <v>223</v>
      </c>
      <c r="B162" s="11" t="s">
        <v>224</v>
      </c>
      <c r="C162">
        <v>3</v>
      </c>
      <c r="D162" t="s">
        <v>442</v>
      </c>
      <c r="E162">
        <v>1</v>
      </c>
      <c r="G162" s="6">
        <f t="shared" si="3"/>
        <v>2.79</v>
      </c>
      <c r="H162" s="6">
        <v>2.79</v>
      </c>
      <c r="I162" t="s">
        <v>443</v>
      </c>
      <c r="J162">
        <f>tbl_ReceiptLines[[#This Row],[Line_Total]]-tbl_ReceiptLines[[#This Row],[Discount_Info]]</f>
        <v>2.79</v>
      </c>
      <c r="L162" s="6">
        <f t="shared" si="2"/>
        <v>2.79</v>
      </c>
    </row>
    <row r="163" spans="1:12" hidden="1" x14ac:dyDescent="0.3">
      <c r="A163" t="s">
        <v>223</v>
      </c>
      <c r="B163" s="11" t="s">
        <v>224</v>
      </c>
      <c r="C163">
        <v>4</v>
      </c>
      <c r="D163" t="s">
        <v>444</v>
      </c>
      <c r="E163">
        <v>1</v>
      </c>
      <c r="F163" t="s">
        <v>445</v>
      </c>
      <c r="G163" s="6">
        <f t="shared" si="3"/>
        <v>12.59</v>
      </c>
      <c r="H163" s="6">
        <v>12.59</v>
      </c>
      <c r="I163" t="s">
        <v>446</v>
      </c>
      <c r="J163">
        <f>tbl_ReceiptLines[[#This Row],[Line_Total]]-tbl_ReceiptLines[[#This Row],[Discount_Info]]</f>
        <v>12.59</v>
      </c>
      <c r="L163" s="6">
        <f t="shared" si="2"/>
        <v>12.59</v>
      </c>
    </row>
    <row r="164" spans="1:12" hidden="1" x14ac:dyDescent="0.3">
      <c r="A164" t="s">
        <v>223</v>
      </c>
      <c r="B164" s="11" t="s">
        <v>224</v>
      </c>
      <c r="C164">
        <v>5</v>
      </c>
      <c r="D164" t="s">
        <v>447</v>
      </c>
      <c r="E164">
        <v>2</v>
      </c>
      <c r="G164" s="6">
        <f t="shared" si="3"/>
        <v>14.595000000000001</v>
      </c>
      <c r="H164" s="6">
        <v>36.49</v>
      </c>
      <c r="I164" t="s">
        <v>448</v>
      </c>
      <c r="J164">
        <f>tbl_ReceiptLines[[#This Row],[Line_Total]]-tbl_ReceiptLines[[#This Row],[Discount_Info]]</f>
        <v>29.19</v>
      </c>
      <c r="K164" s="6">
        <v>7.3</v>
      </c>
      <c r="L164" s="6">
        <f t="shared" si="2"/>
        <v>29.19</v>
      </c>
    </row>
    <row r="165" spans="1:12" hidden="1" x14ac:dyDescent="0.3">
      <c r="A165" t="s">
        <v>223</v>
      </c>
      <c r="B165" s="11" t="s">
        <v>224</v>
      </c>
      <c r="C165">
        <v>6</v>
      </c>
      <c r="D165" t="s">
        <v>449</v>
      </c>
      <c r="E165">
        <v>1</v>
      </c>
      <c r="F165" t="s">
        <v>450</v>
      </c>
      <c r="G165" s="6">
        <f t="shared" si="3"/>
        <v>5.99</v>
      </c>
      <c r="H165" s="6">
        <v>5.99</v>
      </c>
      <c r="I165" t="s">
        <v>451</v>
      </c>
      <c r="J165">
        <f>tbl_ReceiptLines[[#This Row],[Line_Total]]-tbl_ReceiptLines[[#This Row],[Discount_Info]]</f>
        <v>5.99</v>
      </c>
      <c r="L165" s="6">
        <f t="shared" si="2"/>
        <v>5.99</v>
      </c>
    </row>
    <row r="166" spans="1:12" ht="15" hidden="1" customHeight="1" x14ac:dyDescent="0.3">
      <c r="A166" t="s">
        <v>230</v>
      </c>
      <c r="B166" s="11" t="s">
        <v>452</v>
      </c>
      <c r="C166">
        <v>1</v>
      </c>
      <c r="D166" t="s">
        <v>453</v>
      </c>
      <c r="E166">
        <v>1</v>
      </c>
      <c r="G166" s="6">
        <f t="shared" si="3"/>
        <v>1.8</v>
      </c>
      <c r="H166" s="6">
        <v>1.8</v>
      </c>
      <c r="J166">
        <f>tbl_ReceiptLines[[#This Row],[Line_Total]]-tbl_ReceiptLines[[#This Row],[Discount_Info]]</f>
        <v>1.8</v>
      </c>
      <c r="L166" s="6">
        <f t="shared" si="2"/>
        <v>1.8</v>
      </c>
    </row>
    <row r="167" spans="1:12" ht="15" hidden="1" customHeight="1" x14ac:dyDescent="0.3">
      <c r="A167" t="s">
        <v>230</v>
      </c>
      <c r="B167" s="11" t="s">
        <v>452</v>
      </c>
      <c r="C167">
        <v>2</v>
      </c>
      <c r="D167" t="s">
        <v>454</v>
      </c>
      <c r="E167">
        <v>1</v>
      </c>
      <c r="G167" s="6">
        <f t="shared" si="3"/>
        <v>3.6</v>
      </c>
      <c r="H167" s="6">
        <v>3.6</v>
      </c>
      <c r="J167">
        <f>tbl_ReceiptLines[[#This Row],[Line_Total]]-tbl_ReceiptLines[[#This Row],[Discount_Info]]</f>
        <v>3.6</v>
      </c>
      <c r="L167" s="6">
        <f t="shared" si="2"/>
        <v>3.6</v>
      </c>
    </row>
    <row r="168" spans="1:12" hidden="1" x14ac:dyDescent="0.3">
      <c r="A168" t="s">
        <v>234</v>
      </c>
      <c r="B168" s="11" t="s">
        <v>235</v>
      </c>
      <c r="C168">
        <v>1</v>
      </c>
      <c r="D168" t="s">
        <v>455</v>
      </c>
      <c r="E168">
        <v>1</v>
      </c>
      <c r="G168" s="6">
        <v>3.29</v>
      </c>
      <c r="H168" s="6">
        <f>tbl_ReceiptLines[[#This Row],[Quantity]]*tbl_ReceiptLines[[#This Row],[Unit_Price]]</f>
        <v>3.29</v>
      </c>
      <c r="J168">
        <f>tbl_ReceiptLines[[#This Row],[Line_Total]]-tbl_ReceiptLines[[#This Row],[Discount_Info]]</f>
        <v>3.29</v>
      </c>
      <c r="L168" s="6">
        <f>tbl_ReceiptLines[[#This Row],[Line_Total]]-tbl_ReceiptLines[[#This Row],[Discount_Info]]</f>
        <v>3.29</v>
      </c>
    </row>
    <row r="169" spans="1:12" hidden="1" x14ac:dyDescent="0.3">
      <c r="A169" t="s">
        <v>234</v>
      </c>
      <c r="B169" s="11" t="s">
        <v>235</v>
      </c>
      <c r="C169">
        <v>2</v>
      </c>
      <c r="D169" t="s">
        <v>456</v>
      </c>
      <c r="E169">
        <v>1</v>
      </c>
      <c r="G169" s="6">
        <v>1.89</v>
      </c>
      <c r="H169" s="6">
        <f>tbl_ReceiptLines[[#This Row],[Quantity]]*tbl_ReceiptLines[[#This Row],[Unit_Price]]</f>
        <v>1.89</v>
      </c>
      <c r="J169">
        <f>tbl_ReceiptLines[[#This Row],[Line_Total]]-tbl_ReceiptLines[[#This Row],[Discount_Info]]</f>
        <v>1.89</v>
      </c>
      <c r="L169" s="6">
        <f>tbl_ReceiptLines[[#This Row],[Line_Total]]-tbl_ReceiptLines[[#This Row],[Discount_Info]]</f>
        <v>1.89</v>
      </c>
    </row>
    <row r="170" spans="1:12" hidden="1" x14ac:dyDescent="0.3">
      <c r="A170" t="s">
        <v>234</v>
      </c>
      <c r="B170" s="11" t="s">
        <v>235</v>
      </c>
      <c r="C170">
        <v>3</v>
      </c>
      <c r="D170" t="s">
        <v>457</v>
      </c>
      <c r="E170">
        <v>1</v>
      </c>
      <c r="G170" s="6">
        <v>1.49</v>
      </c>
      <c r="H170" s="6">
        <f>tbl_ReceiptLines[[#This Row],[Quantity]]*tbl_ReceiptLines[[#This Row],[Unit_Price]]</f>
        <v>1.49</v>
      </c>
      <c r="J170">
        <f>tbl_ReceiptLines[[#This Row],[Line_Total]]-tbl_ReceiptLines[[#This Row],[Discount_Info]]</f>
        <v>1.49</v>
      </c>
      <c r="L170" s="6">
        <f>tbl_ReceiptLines[[#This Row],[Line_Total]]-tbl_ReceiptLines[[#This Row],[Discount_Info]]</f>
        <v>1.49</v>
      </c>
    </row>
    <row r="171" spans="1:12" hidden="1" x14ac:dyDescent="0.3">
      <c r="A171" t="s">
        <v>234</v>
      </c>
      <c r="B171" s="11" t="s">
        <v>235</v>
      </c>
      <c r="C171">
        <v>4</v>
      </c>
      <c r="D171" t="s">
        <v>458</v>
      </c>
      <c r="E171">
        <v>1</v>
      </c>
      <c r="G171" s="6">
        <v>1.29</v>
      </c>
      <c r="H171" s="6">
        <f>tbl_ReceiptLines[[#This Row],[Quantity]]*tbl_ReceiptLines[[#This Row],[Unit_Price]]</f>
        <v>1.29</v>
      </c>
      <c r="J171">
        <f>tbl_ReceiptLines[[#This Row],[Line_Total]]-tbl_ReceiptLines[[#This Row],[Discount_Info]]</f>
        <v>1.29</v>
      </c>
      <c r="L171" s="6">
        <f>tbl_ReceiptLines[[#This Row],[Line_Total]]-tbl_ReceiptLines[[#This Row],[Discount_Info]]</f>
        <v>1.29</v>
      </c>
    </row>
    <row r="172" spans="1:12" hidden="1" x14ac:dyDescent="0.3">
      <c r="A172" t="s">
        <v>234</v>
      </c>
      <c r="B172" s="11" t="s">
        <v>235</v>
      </c>
      <c r="C172">
        <v>5</v>
      </c>
      <c r="D172" t="s">
        <v>459</v>
      </c>
      <c r="E172">
        <v>1</v>
      </c>
      <c r="G172" s="6">
        <v>1.99</v>
      </c>
      <c r="H172" s="6">
        <f>tbl_ReceiptLines[[#This Row],[Quantity]]*tbl_ReceiptLines[[#This Row],[Unit_Price]]</f>
        <v>1.99</v>
      </c>
      <c r="J172">
        <f>tbl_ReceiptLines[[#This Row],[Line_Total]]-tbl_ReceiptLines[[#This Row],[Discount_Info]]</f>
        <v>1.99</v>
      </c>
      <c r="L172" s="6">
        <f>tbl_ReceiptLines[[#This Row],[Line_Total]]-tbl_ReceiptLines[[#This Row],[Discount_Info]]</f>
        <v>1.99</v>
      </c>
    </row>
    <row r="173" spans="1:12" hidden="1" x14ac:dyDescent="0.3">
      <c r="A173" t="s">
        <v>234</v>
      </c>
      <c r="B173" s="11" t="s">
        <v>235</v>
      </c>
      <c r="C173">
        <v>6</v>
      </c>
      <c r="D173" t="s">
        <v>460</v>
      </c>
      <c r="E173">
        <v>1</v>
      </c>
      <c r="G173" s="6">
        <v>1.49</v>
      </c>
      <c r="H173" s="6">
        <f>tbl_ReceiptLines[[#This Row],[Quantity]]*tbl_ReceiptLines[[#This Row],[Unit_Price]]</f>
        <v>1.49</v>
      </c>
      <c r="J173">
        <f>tbl_ReceiptLines[[#This Row],[Line_Total]]-tbl_ReceiptLines[[#This Row],[Discount_Info]]</f>
        <v>1.49</v>
      </c>
      <c r="L173" s="6">
        <f>tbl_ReceiptLines[[#This Row],[Line_Total]]-tbl_ReceiptLines[[#This Row],[Discount_Info]]</f>
        <v>1.49</v>
      </c>
    </row>
    <row r="174" spans="1:12" hidden="1" x14ac:dyDescent="0.3">
      <c r="A174" t="s">
        <v>234</v>
      </c>
      <c r="B174" s="11" t="s">
        <v>235</v>
      </c>
      <c r="C174">
        <v>7</v>
      </c>
      <c r="D174" t="s">
        <v>461</v>
      </c>
      <c r="E174">
        <v>1</v>
      </c>
      <c r="G174" s="6">
        <v>1.49</v>
      </c>
      <c r="H174" s="6">
        <f>tbl_ReceiptLines[[#This Row],[Quantity]]*tbl_ReceiptLines[[#This Row],[Unit_Price]]</f>
        <v>1.49</v>
      </c>
      <c r="J174">
        <f>tbl_ReceiptLines[[#This Row],[Line_Total]]-tbl_ReceiptLines[[#This Row],[Discount_Info]]</f>
        <v>1.49</v>
      </c>
      <c r="L174" s="6">
        <f>tbl_ReceiptLines[[#This Row],[Line_Total]]-tbl_ReceiptLines[[#This Row],[Discount_Info]]</f>
        <v>1.49</v>
      </c>
    </row>
    <row r="175" spans="1:12" hidden="1" x14ac:dyDescent="0.3">
      <c r="A175" t="s">
        <v>234</v>
      </c>
      <c r="B175" s="11" t="s">
        <v>235</v>
      </c>
      <c r="C175">
        <v>8</v>
      </c>
      <c r="D175" t="s">
        <v>462</v>
      </c>
      <c r="E175">
        <v>1</v>
      </c>
      <c r="G175" s="6">
        <v>1.1499999999999999</v>
      </c>
      <c r="H175" s="6">
        <f>tbl_ReceiptLines[[#This Row],[Quantity]]*tbl_ReceiptLines[[#This Row],[Unit_Price]]</f>
        <v>1.1499999999999999</v>
      </c>
      <c r="J175">
        <f>tbl_ReceiptLines[[#This Row],[Line_Total]]-tbl_ReceiptLines[[#This Row],[Discount_Info]]</f>
        <v>1.1499999999999999</v>
      </c>
      <c r="L175" s="6">
        <f>tbl_ReceiptLines[[#This Row],[Line_Total]]-tbl_ReceiptLines[[#This Row],[Discount_Info]]</f>
        <v>1.1499999999999999</v>
      </c>
    </row>
    <row r="176" spans="1:12" hidden="1" x14ac:dyDescent="0.3">
      <c r="A176" t="s">
        <v>234</v>
      </c>
      <c r="B176" s="11" t="s">
        <v>235</v>
      </c>
      <c r="C176">
        <v>9</v>
      </c>
      <c r="D176" t="s">
        <v>463</v>
      </c>
      <c r="E176">
        <v>14</v>
      </c>
      <c r="G176" s="6">
        <v>0.02</v>
      </c>
      <c r="H176" s="6">
        <f>tbl_ReceiptLines[[#This Row],[Quantity]]*tbl_ReceiptLines[[#This Row],[Unit_Price]]</f>
        <v>0.28000000000000003</v>
      </c>
      <c r="J176">
        <f>tbl_ReceiptLines[[#This Row],[Line_Total]]-tbl_ReceiptLines[[#This Row],[Discount_Info]]</f>
        <v>0.28000000000000003</v>
      </c>
      <c r="L176" s="6">
        <f>tbl_ReceiptLines[[#This Row],[Line_Total]]-tbl_ReceiptLines[[#This Row],[Discount_Info]]</f>
        <v>0.28000000000000003</v>
      </c>
    </row>
    <row r="177" spans="1:12" ht="15" customHeight="1" x14ac:dyDescent="0.3">
      <c r="A177" t="s">
        <v>22</v>
      </c>
      <c r="B177" s="11" t="s">
        <v>20</v>
      </c>
      <c r="C177">
        <v>1</v>
      </c>
      <c r="D177" t="s">
        <v>316</v>
      </c>
      <c r="E177">
        <v>1</v>
      </c>
      <c r="F177">
        <v>800</v>
      </c>
      <c r="G177" s="6">
        <v>2.39</v>
      </c>
      <c r="H177" s="6">
        <f>tbl_ReceiptLines[[#This Row],[Quantity]]*tbl_ReceiptLines[[#This Row],[Unit_Price]]</f>
        <v>2.39</v>
      </c>
      <c r="J177">
        <f>tbl_ReceiptLines[[#This Row],[Line_Total]]-tbl_ReceiptLines[[#This Row],[Discount_Info]]</f>
        <v>2.39</v>
      </c>
      <c r="L177" s="6">
        <f>tbl_ReceiptLines[[#This Row],[Line_Total]]-tbl_ReceiptLines[[#This Row],[Discount_Info]]</f>
        <v>2.39</v>
      </c>
    </row>
    <row r="178" spans="1:12" x14ac:dyDescent="0.3">
      <c r="A178" t="s">
        <v>22</v>
      </c>
      <c r="B178" s="11" t="s">
        <v>20</v>
      </c>
      <c r="C178">
        <v>2</v>
      </c>
      <c r="D178" t="s">
        <v>310</v>
      </c>
      <c r="E178">
        <v>2</v>
      </c>
      <c r="F178">
        <v>500</v>
      </c>
      <c r="G178" s="6">
        <v>1.19</v>
      </c>
      <c r="H178" s="6">
        <f>tbl_ReceiptLines[[#This Row],[Quantity]]*tbl_ReceiptLines[[#This Row],[Unit_Price]]</f>
        <v>2.38</v>
      </c>
      <c r="J178">
        <f>tbl_ReceiptLines[[#This Row],[Line_Total]]-tbl_ReceiptLines[[#This Row],[Discount_Info]]</f>
        <v>2.34</v>
      </c>
      <c r="K178" s="6">
        <v>0.04</v>
      </c>
      <c r="L178" s="6">
        <f>tbl_ReceiptLines[[#This Row],[Line_Total]]-tbl_ReceiptLines[[#This Row],[Discount_Info]]</f>
        <v>2.34</v>
      </c>
    </row>
    <row r="179" spans="1:12" x14ac:dyDescent="0.3">
      <c r="A179" t="s">
        <v>22</v>
      </c>
      <c r="B179" s="11" t="s">
        <v>20</v>
      </c>
      <c r="C179">
        <v>3</v>
      </c>
      <c r="D179" t="s">
        <v>318</v>
      </c>
      <c r="E179">
        <v>1</v>
      </c>
      <c r="F179" t="s">
        <v>464</v>
      </c>
      <c r="G179" s="6">
        <v>10.29</v>
      </c>
      <c r="H179" s="6">
        <f>tbl_ReceiptLines[[#This Row],[Quantity]]*tbl_ReceiptLines[[#This Row],[Unit_Price]]</f>
        <v>10.29</v>
      </c>
      <c r="J179">
        <f>tbl_ReceiptLines[[#This Row],[Line_Total]]-tbl_ReceiptLines[[#This Row],[Discount_Info]]</f>
        <v>10.29</v>
      </c>
      <c r="L179" s="6">
        <f>tbl_ReceiptLines[[#This Row],[Line_Total]]-tbl_ReceiptLines[[#This Row],[Discount_Info]]</f>
        <v>10.29</v>
      </c>
    </row>
    <row r="180" spans="1:12" x14ac:dyDescent="0.3">
      <c r="A180" t="s">
        <v>22</v>
      </c>
      <c r="B180" s="11" t="s">
        <v>20</v>
      </c>
      <c r="C180">
        <v>4</v>
      </c>
      <c r="D180" t="s">
        <v>465</v>
      </c>
      <c r="E180">
        <v>1</v>
      </c>
      <c r="F180">
        <v>5</v>
      </c>
      <c r="G180" s="6">
        <v>1.45</v>
      </c>
      <c r="H180" s="6">
        <f>tbl_ReceiptLines[[#This Row],[Quantity]]*tbl_ReceiptLines[[#This Row],[Unit_Price]]</f>
        <v>1.45</v>
      </c>
      <c r="J180">
        <f>tbl_ReceiptLines[[#This Row],[Line_Total]]-tbl_ReceiptLines[[#This Row],[Discount_Info]]</f>
        <v>1.45</v>
      </c>
      <c r="L180" s="6">
        <f>tbl_ReceiptLines[[#This Row],[Line_Total]]-tbl_ReceiptLines[[#This Row],[Discount_Info]]</f>
        <v>1.45</v>
      </c>
    </row>
    <row r="181" spans="1:12" x14ac:dyDescent="0.3">
      <c r="A181" t="s">
        <v>22</v>
      </c>
      <c r="B181" s="11" t="s">
        <v>20</v>
      </c>
      <c r="C181">
        <v>5</v>
      </c>
      <c r="D181" t="s">
        <v>466</v>
      </c>
      <c r="E181">
        <v>1</v>
      </c>
      <c r="F181">
        <v>4</v>
      </c>
      <c r="G181" s="6">
        <v>2.79</v>
      </c>
      <c r="H181" s="6">
        <f>tbl_ReceiptLines[[#This Row],[Quantity]]*tbl_ReceiptLines[[#This Row],[Unit_Price]]</f>
        <v>2.79</v>
      </c>
      <c r="J181">
        <f>tbl_ReceiptLines[[#This Row],[Line_Total]]-tbl_ReceiptLines[[#This Row],[Discount_Info]]</f>
        <v>2.79</v>
      </c>
      <c r="L181" s="6">
        <f>tbl_ReceiptLines[[#This Row],[Line_Total]]-tbl_ReceiptLines[[#This Row],[Discount_Info]]</f>
        <v>2.79</v>
      </c>
    </row>
    <row r="182" spans="1:12" x14ac:dyDescent="0.3">
      <c r="A182" t="s">
        <v>22</v>
      </c>
      <c r="B182" s="11" t="s">
        <v>20</v>
      </c>
      <c r="C182">
        <v>6</v>
      </c>
      <c r="D182" t="s">
        <v>322</v>
      </c>
      <c r="E182">
        <v>1</v>
      </c>
      <c r="F182">
        <v>1</v>
      </c>
      <c r="G182" s="6">
        <v>2.4900000000000002</v>
      </c>
      <c r="H182" s="6">
        <f>tbl_ReceiptLines[[#This Row],[Quantity]]*tbl_ReceiptLines[[#This Row],[Unit_Price]]</f>
        <v>2.4900000000000002</v>
      </c>
      <c r="J182">
        <f>tbl_ReceiptLines[[#This Row],[Line_Total]]-tbl_ReceiptLines[[#This Row],[Discount_Info]]</f>
        <v>2.4900000000000002</v>
      </c>
      <c r="L182" s="6">
        <f>tbl_ReceiptLines[[#This Row],[Line_Total]]-tbl_ReceiptLines[[#This Row],[Discount_Info]]</f>
        <v>2.4900000000000002</v>
      </c>
    </row>
    <row r="183" spans="1:12" x14ac:dyDescent="0.3">
      <c r="A183" t="s">
        <v>22</v>
      </c>
      <c r="B183" s="11" t="s">
        <v>20</v>
      </c>
      <c r="C183">
        <v>7</v>
      </c>
      <c r="D183" t="s">
        <v>320</v>
      </c>
      <c r="E183">
        <v>1</v>
      </c>
      <c r="F183">
        <v>1</v>
      </c>
      <c r="G183" s="6">
        <v>2.4900000000000002</v>
      </c>
      <c r="H183" s="6">
        <f>tbl_ReceiptLines[[#This Row],[Quantity]]*tbl_ReceiptLines[[#This Row],[Unit_Price]]</f>
        <v>2.4900000000000002</v>
      </c>
      <c r="L183" s="6">
        <f>tbl_ReceiptLines[[#This Row],[Line_Total]]-tbl_ReceiptLines[[#This Row],[Discount_Info]]</f>
        <v>2.4900000000000002</v>
      </c>
    </row>
    <row r="184" spans="1:12" x14ac:dyDescent="0.3">
      <c r="A184" t="s">
        <v>22</v>
      </c>
      <c r="B184" s="11" t="s">
        <v>20</v>
      </c>
      <c r="C184">
        <v>8</v>
      </c>
      <c r="D184" t="s">
        <v>323</v>
      </c>
      <c r="E184">
        <v>1</v>
      </c>
      <c r="F184">
        <v>1000</v>
      </c>
      <c r="G184" s="6">
        <v>3.99</v>
      </c>
      <c r="H184" s="6">
        <f>tbl_ReceiptLines[[#This Row],[Quantity]]*tbl_ReceiptLines[[#This Row],[Unit_Price]]</f>
        <v>3.99</v>
      </c>
      <c r="J184">
        <f>tbl_ReceiptLines[[#This Row],[Line_Total]]-tbl_ReceiptLines[[#This Row],[Discount_Info]]</f>
        <v>3.99</v>
      </c>
      <c r="L184" s="6">
        <f>tbl_ReceiptLines[[#This Row],[Line_Total]]-tbl_ReceiptLines[[#This Row],[Discount_Info]]</f>
        <v>3.99</v>
      </c>
    </row>
    <row r="185" spans="1:12" x14ac:dyDescent="0.3">
      <c r="A185" t="s">
        <v>22</v>
      </c>
      <c r="B185" s="11" t="s">
        <v>20</v>
      </c>
      <c r="C185">
        <v>9</v>
      </c>
      <c r="D185" s="15" t="s">
        <v>347</v>
      </c>
      <c r="E185">
        <v>3</v>
      </c>
      <c r="F185">
        <v>200</v>
      </c>
      <c r="G185" s="6">
        <f>4.77/3</f>
        <v>1.5899999999999999</v>
      </c>
      <c r="H185" s="6">
        <f>tbl_ReceiptLines[[#This Row],[Quantity]]*tbl_ReceiptLines[[#This Row],[Unit_Price]]</f>
        <v>4.7699999999999996</v>
      </c>
      <c r="J185">
        <f>tbl_ReceiptLines[[#This Row],[Line_Total]]-tbl_ReceiptLines[[#This Row],[Discount_Info]]</f>
        <v>4.6499999999999995</v>
      </c>
      <c r="K185" s="6">
        <v>0.12</v>
      </c>
      <c r="L185" s="6">
        <f>tbl_ReceiptLines[[#This Row],[Line_Total]]-tbl_ReceiptLines[[#This Row],[Discount_Info]]</f>
        <v>4.6499999999999995</v>
      </c>
    </row>
    <row r="186" spans="1:12" x14ac:dyDescent="0.3">
      <c r="A186" t="s">
        <v>22</v>
      </c>
      <c r="B186" s="11" t="s">
        <v>20</v>
      </c>
      <c r="C186">
        <v>10</v>
      </c>
      <c r="D186" t="s">
        <v>467</v>
      </c>
      <c r="E186">
        <v>1</v>
      </c>
      <c r="F186">
        <v>100</v>
      </c>
      <c r="G186" s="6">
        <v>2.69</v>
      </c>
      <c r="H186" s="6">
        <f>tbl_ReceiptLines[[#This Row],[Quantity]]*tbl_ReceiptLines[[#This Row],[Unit_Price]]</f>
        <v>2.69</v>
      </c>
      <c r="J186">
        <f>tbl_ReceiptLines[[#This Row],[Line_Total]]-tbl_ReceiptLines[[#This Row],[Discount_Info]]</f>
        <v>2.69</v>
      </c>
      <c r="L186" s="6">
        <f>tbl_ReceiptLines[[#This Row],[Line_Total]]-tbl_ReceiptLines[[#This Row],[Discount_Info]]</f>
        <v>2.69</v>
      </c>
    </row>
    <row r="187" spans="1:12" x14ac:dyDescent="0.3">
      <c r="A187" t="s">
        <v>22</v>
      </c>
      <c r="B187" s="11" t="s">
        <v>20</v>
      </c>
      <c r="C187">
        <v>11</v>
      </c>
      <c r="D187" t="s">
        <v>468</v>
      </c>
      <c r="E187">
        <v>1</v>
      </c>
      <c r="F187">
        <v>150</v>
      </c>
      <c r="G187" s="6">
        <v>3.59</v>
      </c>
      <c r="H187" s="6">
        <f>tbl_ReceiptLines[[#This Row],[Quantity]]*tbl_ReceiptLines[[#This Row],[Unit_Price]]</f>
        <v>3.59</v>
      </c>
      <c r="J187">
        <f>tbl_ReceiptLines[[#This Row],[Line_Total]]-tbl_ReceiptLines[[#This Row],[Discount_Info]]</f>
        <v>3.59</v>
      </c>
      <c r="L187" s="6">
        <f>tbl_ReceiptLines[[#This Row],[Line_Total]]-tbl_ReceiptLines[[#This Row],[Discount_Info]]</f>
        <v>3.59</v>
      </c>
    </row>
    <row r="188" spans="1:12" x14ac:dyDescent="0.3">
      <c r="A188" t="s">
        <v>22</v>
      </c>
      <c r="B188" s="11" t="s">
        <v>20</v>
      </c>
      <c r="C188">
        <v>12</v>
      </c>
      <c r="D188" t="s">
        <v>469</v>
      </c>
      <c r="E188">
        <v>1</v>
      </c>
      <c r="F188">
        <v>200</v>
      </c>
      <c r="G188" s="6">
        <v>2.99</v>
      </c>
      <c r="H188" s="6">
        <f>tbl_ReceiptLines[[#This Row],[Quantity]]*tbl_ReceiptLines[[#This Row],[Unit_Price]]</f>
        <v>2.99</v>
      </c>
      <c r="J188">
        <f>tbl_ReceiptLines[[#This Row],[Line_Total]]-tbl_ReceiptLines[[#This Row],[Discount_Info]]</f>
        <v>2.99</v>
      </c>
      <c r="L188" s="6">
        <f>tbl_ReceiptLines[[#This Row],[Line_Total]]-tbl_ReceiptLines[[#This Row],[Discount_Info]]</f>
        <v>2.99</v>
      </c>
    </row>
    <row r="189" spans="1:12" x14ac:dyDescent="0.3">
      <c r="A189" t="s">
        <v>22</v>
      </c>
      <c r="B189" s="11" t="s">
        <v>20</v>
      </c>
      <c r="C189">
        <v>13</v>
      </c>
      <c r="D189" t="s">
        <v>470</v>
      </c>
      <c r="E189">
        <v>1</v>
      </c>
      <c r="F189">
        <v>4</v>
      </c>
      <c r="G189" s="6">
        <v>2.69</v>
      </c>
      <c r="H189" s="6">
        <f>tbl_ReceiptLines[[#This Row],[Quantity]]*tbl_ReceiptLines[[#This Row],[Unit_Price]]</f>
        <v>2.69</v>
      </c>
      <c r="J189">
        <f>tbl_ReceiptLines[[#This Row],[Line_Total]]-tbl_ReceiptLines[[#This Row],[Discount_Info]]</f>
        <v>2.69</v>
      </c>
      <c r="L189" s="6">
        <f>tbl_ReceiptLines[[#This Row],[Line_Total]]-tbl_ReceiptLines[[#This Row],[Discount_Info]]</f>
        <v>2.69</v>
      </c>
    </row>
    <row r="190" spans="1:12" x14ac:dyDescent="0.3">
      <c r="A190" t="s">
        <v>22</v>
      </c>
      <c r="B190" s="11" t="s">
        <v>20</v>
      </c>
      <c r="C190">
        <v>14</v>
      </c>
      <c r="D190" t="s">
        <v>343</v>
      </c>
      <c r="E190">
        <v>1</v>
      </c>
      <c r="F190">
        <v>9</v>
      </c>
      <c r="G190" s="6">
        <v>2.69</v>
      </c>
      <c r="H190" s="6">
        <f>tbl_ReceiptLines[[#This Row],[Quantity]]*tbl_ReceiptLines[[#This Row],[Unit_Price]]</f>
        <v>2.69</v>
      </c>
      <c r="J190">
        <f>tbl_ReceiptLines[[#This Row],[Line_Total]]-tbl_ReceiptLines[[#This Row],[Discount_Info]]</f>
        <v>2.69</v>
      </c>
      <c r="L190" s="6">
        <f>tbl_ReceiptLines[[#This Row],[Line_Total]]-tbl_ReceiptLines[[#This Row],[Discount_Info]]</f>
        <v>2.69</v>
      </c>
    </row>
    <row r="191" spans="1:12" x14ac:dyDescent="0.3">
      <c r="A191" t="s">
        <v>22</v>
      </c>
      <c r="B191" s="11" t="s">
        <v>20</v>
      </c>
      <c r="C191">
        <v>15</v>
      </c>
      <c r="D191" t="s">
        <v>471</v>
      </c>
      <c r="E191">
        <v>1</v>
      </c>
      <c r="F191">
        <v>1</v>
      </c>
      <c r="G191" s="6">
        <v>1.49</v>
      </c>
      <c r="H191" s="6">
        <f>tbl_ReceiptLines[[#This Row],[Quantity]]*tbl_ReceiptLines[[#This Row],[Unit_Price]]</f>
        <v>1.49</v>
      </c>
      <c r="J191">
        <f>tbl_ReceiptLines[[#This Row],[Line_Total]]-tbl_ReceiptLines[[#This Row],[Discount_Info]]</f>
        <v>1.49</v>
      </c>
      <c r="L191" s="6">
        <f>tbl_ReceiptLines[[#This Row],[Line_Total]]-tbl_ReceiptLines[[#This Row],[Discount_Info]]</f>
        <v>1.49</v>
      </c>
    </row>
    <row r="192" spans="1:12" x14ac:dyDescent="0.3">
      <c r="A192" t="s">
        <v>22</v>
      </c>
      <c r="B192" s="11" t="s">
        <v>20</v>
      </c>
      <c r="C192">
        <v>16</v>
      </c>
      <c r="D192" t="s">
        <v>472</v>
      </c>
      <c r="E192">
        <v>1</v>
      </c>
      <c r="F192">
        <v>500</v>
      </c>
      <c r="G192" s="6">
        <v>1.65</v>
      </c>
      <c r="H192" s="6">
        <f>tbl_ReceiptLines[[#This Row],[Quantity]]*tbl_ReceiptLines[[#This Row],[Unit_Price]]</f>
        <v>1.65</v>
      </c>
      <c r="J192">
        <f>tbl_ReceiptLines[[#This Row],[Line_Total]]-tbl_ReceiptLines[[#This Row],[Discount_Info]]</f>
        <v>1.65</v>
      </c>
      <c r="L192" s="6">
        <f>tbl_ReceiptLines[[#This Row],[Line_Total]]-tbl_ReceiptLines[[#This Row],[Discount_Info]]</f>
        <v>1.65</v>
      </c>
    </row>
    <row r="193" spans="1:12" x14ac:dyDescent="0.3">
      <c r="A193" t="s">
        <v>22</v>
      </c>
      <c r="B193" s="11" t="s">
        <v>20</v>
      </c>
      <c r="C193">
        <v>17</v>
      </c>
      <c r="D193" t="s">
        <v>473</v>
      </c>
      <c r="E193">
        <v>1</v>
      </c>
      <c r="F193">
        <v>3</v>
      </c>
      <c r="G193" s="6">
        <v>0.89</v>
      </c>
      <c r="H193" s="6">
        <f>tbl_ReceiptLines[[#This Row],[Quantity]]*tbl_ReceiptLines[[#This Row],[Unit_Price]]</f>
        <v>0.89</v>
      </c>
      <c r="J193">
        <f>tbl_ReceiptLines[[#This Row],[Line_Total]]-tbl_ReceiptLines[[#This Row],[Discount_Info]]</f>
        <v>0.8</v>
      </c>
      <c r="K193" s="6">
        <v>0.09</v>
      </c>
      <c r="L193" s="6">
        <f>tbl_ReceiptLines[[#This Row],[Line_Total]]-tbl_ReceiptLines[[#This Row],[Discount_Info]]</f>
        <v>0.8</v>
      </c>
    </row>
    <row r="194" spans="1:12" x14ac:dyDescent="0.3">
      <c r="A194" t="s">
        <v>22</v>
      </c>
      <c r="B194" s="11" t="s">
        <v>20</v>
      </c>
      <c r="C194">
        <v>18</v>
      </c>
      <c r="D194" t="s">
        <v>257</v>
      </c>
      <c r="E194">
        <v>2</v>
      </c>
      <c r="F194">
        <v>1</v>
      </c>
      <c r="G194" s="6">
        <v>0.65</v>
      </c>
      <c r="H194" s="6">
        <f>tbl_ReceiptLines[[#This Row],[Quantity]]*tbl_ReceiptLines[[#This Row],[Unit_Price]]</f>
        <v>1.3</v>
      </c>
      <c r="J194">
        <f>tbl_ReceiptLines[[#This Row],[Line_Total]]-tbl_ReceiptLines[[#This Row],[Discount_Info]]</f>
        <v>1.3</v>
      </c>
      <c r="L194" s="6">
        <f>tbl_ReceiptLines[[#This Row],[Line_Total]]-tbl_ReceiptLines[[#This Row],[Discount_Info]]</f>
        <v>1.3</v>
      </c>
    </row>
    <row r="195" spans="1:12" x14ac:dyDescent="0.3">
      <c r="A195" t="s">
        <v>22</v>
      </c>
      <c r="B195" s="11" t="s">
        <v>20</v>
      </c>
      <c r="C195">
        <v>19</v>
      </c>
      <c r="D195" t="s">
        <v>474</v>
      </c>
      <c r="E195">
        <v>1</v>
      </c>
      <c r="F195">
        <v>400</v>
      </c>
      <c r="G195" s="6">
        <v>2.29</v>
      </c>
      <c r="H195" s="6">
        <f>tbl_ReceiptLines[[#This Row],[Quantity]]*tbl_ReceiptLines[[#This Row],[Unit_Price]]</f>
        <v>2.29</v>
      </c>
      <c r="J195">
        <f>tbl_ReceiptLines[[#This Row],[Line_Total]]-tbl_ReceiptLines[[#This Row],[Discount_Info]]</f>
        <v>2.29</v>
      </c>
      <c r="L195" s="6">
        <f>tbl_ReceiptLines[[#This Row],[Line_Total]]-tbl_ReceiptLines[[#This Row],[Discount_Info]]</f>
        <v>2.29</v>
      </c>
    </row>
    <row r="196" spans="1:12" x14ac:dyDescent="0.3">
      <c r="A196" t="s">
        <v>22</v>
      </c>
      <c r="B196" s="11" t="s">
        <v>20</v>
      </c>
      <c r="C196">
        <v>20</v>
      </c>
      <c r="D196" t="s">
        <v>475</v>
      </c>
      <c r="E196">
        <v>1</v>
      </c>
      <c r="F196">
        <v>400</v>
      </c>
      <c r="G196" s="6">
        <v>2.39</v>
      </c>
      <c r="H196" s="6">
        <f>tbl_ReceiptLines[[#This Row],[Quantity]]*tbl_ReceiptLines[[#This Row],[Unit_Price]]</f>
        <v>2.39</v>
      </c>
      <c r="J196">
        <f>tbl_ReceiptLines[[#This Row],[Line_Total]]-tbl_ReceiptLines[[#This Row],[Discount_Info]]</f>
        <v>2.39</v>
      </c>
      <c r="L196" s="6">
        <f>tbl_ReceiptLines[[#This Row],[Line_Total]]-tbl_ReceiptLines[[#This Row],[Discount_Info]]</f>
        <v>2.39</v>
      </c>
    </row>
    <row r="197" spans="1:12" x14ac:dyDescent="0.3">
      <c r="A197" t="s">
        <v>22</v>
      </c>
      <c r="B197" s="11" t="s">
        <v>20</v>
      </c>
      <c r="C197">
        <v>21</v>
      </c>
      <c r="D197" t="s">
        <v>476</v>
      </c>
      <c r="E197">
        <v>1</v>
      </c>
      <c r="F197">
        <v>140</v>
      </c>
      <c r="G197" s="6">
        <v>2.29</v>
      </c>
      <c r="H197" s="6">
        <f>tbl_ReceiptLines[[#This Row],[Quantity]]*tbl_ReceiptLines[[#This Row],[Unit_Price]]</f>
        <v>2.29</v>
      </c>
      <c r="J197">
        <f>tbl_ReceiptLines[[#This Row],[Line_Total]]-tbl_ReceiptLines[[#This Row],[Discount_Info]]</f>
        <v>2.29</v>
      </c>
      <c r="L197" s="6">
        <f>tbl_ReceiptLines[[#This Row],[Line_Total]]-tbl_ReceiptLines[[#This Row],[Discount_Info]]</f>
        <v>2.29</v>
      </c>
    </row>
    <row r="198" spans="1:12" x14ac:dyDescent="0.3">
      <c r="A198" t="s">
        <v>22</v>
      </c>
      <c r="B198" s="11" t="s">
        <v>20</v>
      </c>
      <c r="C198">
        <v>22</v>
      </c>
      <c r="D198" t="s">
        <v>477</v>
      </c>
      <c r="E198">
        <v>1</v>
      </c>
      <c r="F198">
        <v>70</v>
      </c>
      <c r="G198" s="6">
        <v>0.49</v>
      </c>
      <c r="H198" s="6">
        <f>tbl_ReceiptLines[[#This Row],[Quantity]]*tbl_ReceiptLines[[#This Row],[Unit_Price]]</f>
        <v>0.49</v>
      </c>
      <c r="J198">
        <f>tbl_ReceiptLines[[#This Row],[Line_Total]]-tbl_ReceiptLines[[#This Row],[Discount_Info]]</f>
        <v>0.49</v>
      </c>
      <c r="L198" s="6">
        <f>tbl_ReceiptLines[[#This Row],[Line_Total]]-tbl_ReceiptLines[[#This Row],[Discount_Info]]</f>
        <v>0.49</v>
      </c>
    </row>
    <row r="199" spans="1:12" x14ac:dyDescent="0.3">
      <c r="A199" t="s">
        <v>22</v>
      </c>
      <c r="B199" s="11" t="s">
        <v>20</v>
      </c>
      <c r="C199">
        <v>23</v>
      </c>
      <c r="D199" s="15" t="s">
        <v>478</v>
      </c>
      <c r="E199">
        <v>1</v>
      </c>
      <c r="F199">
        <v>8</v>
      </c>
      <c r="G199" s="6">
        <v>2.65</v>
      </c>
      <c r="H199" s="6">
        <f>tbl_ReceiptLines[[#This Row],[Quantity]]*tbl_ReceiptLines[[#This Row],[Unit_Price]]</f>
        <v>2.65</v>
      </c>
      <c r="J199">
        <f>tbl_ReceiptLines[[#This Row],[Line_Total]]-tbl_ReceiptLines[[#This Row],[Discount_Info]]</f>
        <v>2.65</v>
      </c>
      <c r="L199" s="6">
        <f>tbl_ReceiptLines[[#This Row],[Line_Total]]-tbl_ReceiptLines[[#This Row],[Discount_Info]]</f>
        <v>2.65</v>
      </c>
    </row>
    <row r="200" spans="1:12" x14ac:dyDescent="0.3">
      <c r="A200" t="s">
        <v>22</v>
      </c>
      <c r="B200" s="11" t="s">
        <v>20</v>
      </c>
      <c r="C200">
        <v>24</v>
      </c>
      <c r="D200" t="s">
        <v>479</v>
      </c>
      <c r="E200">
        <v>2</v>
      </c>
      <c r="F200">
        <v>300</v>
      </c>
      <c r="G200" s="6">
        <v>3.99</v>
      </c>
      <c r="H200" s="6">
        <f>tbl_ReceiptLines[[#This Row],[Quantity]]*tbl_ReceiptLines[[#This Row],[Unit_Price]]</f>
        <v>7.98</v>
      </c>
      <c r="J200">
        <f>tbl_ReceiptLines[[#This Row],[Line_Total]]-tbl_ReceiptLines[[#This Row],[Discount_Info]]</f>
        <v>7.78</v>
      </c>
      <c r="K200" s="6">
        <v>0.2</v>
      </c>
      <c r="L200" s="6">
        <f>tbl_ReceiptLines[[#This Row],[Line_Total]]-tbl_ReceiptLines[[#This Row],[Discount_Info]]</f>
        <v>7.78</v>
      </c>
    </row>
    <row r="201" spans="1:12" x14ac:dyDescent="0.3">
      <c r="A201" t="s">
        <v>22</v>
      </c>
      <c r="B201" s="11" t="s">
        <v>20</v>
      </c>
      <c r="C201">
        <v>25</v>
      </c>
      <c r="D201" t="s">
        <v>329</v>
      </c>
      <c r="E201">
        <v>1</v>
      </c>
      <c r="F201">
        <v>400</v>
      </c>
      <c r="G201" s="6">
        <v>2.4900000000000002</v>
      </c>
      <c r="H201" s="6">
        <f>tbl_ReceiptLines[[#This Row],[Quantity]]*tbl_ReceiptLines[[#This Row],[Unit_Price]]</f>
        <v>2.4900000000000002</v>
      </c>
      <c r="J201">
        <f>tbl_ReceiptLines[[#This Row],[Line_Total]]-tbl_ReceiptLines[[#This Row],[Discount_Info]]</f>
        <v>2</v>
      </c>
      <c r="K201" s="6">
        <v>0.49</v>
      </c>
      <c r="L201" s="6">
        <f>tbl_ReceiptLines[[#This Row],[Line_Total]]-tbl_ReceiptLines[[#This Row],[Discount_Info]]</f>
        <v>2</v>
      </c>
    </row>
    <row r="202" spans="1:12" x14ac:dyDescent="0.3">
      <c r="A202" t="s">
        <v>22</v>
      </c>
      <c r="B202" s="11" t="s">
        <v>20</v>
      </c>
      <c r="C202">
        <v>26</v>
      </c>
      <c r="D202" t="s">
        <v>480</v>
      </c>
      <c r="E202">
        <v>1</v>
      </c>
      <c r="F202">
        <v>28</v>
      </c>
      <c r="G202" s="6">
        <v>0.39</v>
      </c>
      <c r="H202" s="6">
        <f>tbl_ReceiptLines[[#This Row],[Quantity]]*tbl_ReceiptLines[[#This Row],[Unit_Price]]</f>
        <v>0.39</v>
      </c>
      <c r="J202">
        <f>tbl_ReceiptLines[[#This Row],[Line_Total]]-tbl_ReceiptLines[[#This Row],[Discount_Info]]</f>
        <v>0.39</v>
      </c>
      <c r="L202" s="6">
        <f>tbl_ReceiptLines[[#This Row],[Line_Total]]-tbl_ReceiptLines[[#This Row],[Discount_Info]]</f>
        <v>0.39</v>
      </c>
    </row>
    <row r="203" spans="1:12" x14ac:dyDescent="0.3">
      <c r="A203" t="s">
        <v>22</v>
      </c>
      <c r="B203" s="11" t="s">
        <v>20</v>
      </c>
      <c r="C203">
        <v>27</v>
      </c>
      <c r="D203" t="s">
        <v>481</v>
      </c>
      <c r="E203">
        <v>1</v>
      </c>
      <c r="F203">
        <v>125</v>
      </c>
      <c r="G203" s="6">
        <v>1.19</v>
      </c>
      <c r="H203" s="6">
        <f>tbl_ReceiptLines[[#This Row],[Quantity]]*tbl_ReceiptLines[[#This Row],[Unit_Price]]</f>
        <v>1.19</v>
      </c>
      <c r="J203">
        <f>tbl_ReceiptLines[[#This Row],[Line_Total]]-tbl_ReceiptLines[[#This Row],[Discount_Info]]</f>
        <v>1.19</v>
      </c>
      <c r="L203" s="6">
        <f>tbl_ReceiptLines[[#This Row],[Line_Total]]-tbl_ReceiptLines[[#This Row],[Discount_Info]]</f>
        <v>1.19</v>
      </c>
    </row>
    <row r="204" spans="1:12" x14ac:dyDescent="0.3">
      <c r="A204" t="s">
        <v>22</v>
      </c>
      <c r="B204" s="11" t="s">
        <v>20</v>
      </c>
      <c r="C204">
        <v>28</v>
      </c>
      <c r="D204" t="s">
        <v>482</v>
      </c>
      <c r="E204">
        <v>1</v>
      </c>
      <c r="F204">
        <v>200</v>
      </c>
      <c r="G204" s="6">
        <v>1.69</v>
      </c>
      <c r="H204" s="6">
        <f>tbl_ReceiptLines[[#This Row],[Quantity]]*tbl_ReceiptLines[[#This Row],[Unit_Price]]</f>
        <v>1.69</v>
      </c>
      <c r="J204">
        <f>tbl_ReceiptLines[[#This Row],[Line_Total]]-tbl_ReceiptLines[[#This Row],[Discount_Info]]</f>
        <v>1.69</v>
      </c>
      <c r="L204" s="6">
        <f>tbl_ReceiptLines[[#This Row],[Line_Total]]-tbl_ReceiptLines[[#This Row],[Discount_Info]]</f>
        <v>1.69</v>
      </c>
    </row>
    <row r="205" spans="1:12" x14ac:dyDescent="0.3">
      <c r="A205" t="s">
        <v>22</v>
      </c>
      <c r="B205" s="11" t="s">
        <v>20</v>
      </c>
      <c r="C205">
        <v>29</v>
      </c>
      <c r="D205" t="s">
        <v>333</v>
      </c>
      <c r="E205">
        <v>2</v>
      </c>
      <c r="F205">
        <v>175</v>
      </c>
      <c r="G205" s="6">
        <v>3.89</v>
      </c>
      <c r="H205" s="6">
        <f>tbl_ReceiptLines[[#This Row],[Quantity]]*tbl_ReceiptLines[[#This Row],[Unit_Price]]</f>
        <v>7.78</v>
      </c>
      <c r="J205">
        <f>tbl_ReceiptLines[[#This Row],[Line_Total]]-tbl_ReceiptLines[[#This Row],[Discount_Info]]</f>
        <v>7.58</v>
      </c>
      <c r="K205" s="6">
        <v>0.2</v>
      </c>
      <c r="L205" s="6">
        <f>tbl_ReceiptLines[[#This Row],[Line_Total]]-tbl_ReceiptLines[[#This Row],[Discount_Info]]</f>
        <v>7.58</v>
      </c>
    </row>
    <row r="206" spans="1:12" x14ac:dyDescent="0.3">
      <c r="A206" t="s">
        <v>22</v>
      </c>
      <c r="B206" s="11" t="s">
        <v>20</v>
      </c>
      <c r="C206">
        <v>30</v>
      </c>
      <c r="D206" t="s">
        <v>483</v>
      </c>
      <c r="E206">
        <v>1</v>
      </c>
      <c r="F206">
        <v>150</v>
      </c>
      <c r="G206" s="6">
        <v>2.79</v>
      </c>
      <c r="H206" s="6">
        <f>tbl_ReceiptLines[[#This Row],[Quantity]]*tbl_ReceiptLines[[#This Row],[Unit_Price]]</f>
        <v>2.79</v>
      </c>
      <c r="J206">
        <f>tbl_ReceiptLines[[#This Row],[Line_Total]]-tbl_ReceiptLines[[#This Row],[Discount_Info]]</f>
        <v>2.79</v>
      </c>
      <c r="L206" s="6">
        <f>tbl_ReceiptLines[[#This Row],[Line_Total]]-tbl_ReceiptLines[[#This Row],[Discount_Info]]</f>
        <v>2.79</v>
      </c>
    </row>
    <row r="207" spans="1:12" x14ac:dyDescent="0.3">
      <c r="A207" t="s">
        <v>22</v>
      </c>
      <c r="B207" s="11" t="s">
        <v>20</v>
      </c>
      <c r="C207">
        <v>31</v>
      </c>
      <c r="D207" t="s">
        <v>484</v>
      </c>
      <c r="E207">
        <v>1</v>
      </c>
      <c r="F207">
        <v>500</v>
      </c>
      <c r="G207" s="6">
        <v>1.39</v>
      </c>
      <c r="H207" s="6">
        <f>tbl_ReceiptLines[[#This Row],[Quantity]]*tbl_ReceiptLines[[#This Row],[Unit_Price]]</f>
        <v>1.39</v>
      </c>
      <c r="J207">
        <f>tbl_ReceiptLines[[#This Row],[Line_Total]]-tbl_ReceiptLines[[#This Row],[Discount_Info]]</f>
        <v>1.39</v>
      </c>
      <c r="L207" s="6">
        <f>tbl_ReceiptLines[[#This Row],[Line_Total]]-tbl_ReceiptLines[[#This Row],[Discount_Info]]</f>
        <v>1.39</v>
      </c>
    </row>
    <row r="208" spans="1:12" x14ac:dyDescent="0.3">
      <c r="A208" t="s">
        <v>22</v>
      </c>
      <c r="B208" s="11" t="s">
        <v>20</v>
      </c>
      <c r="C208">
        <v>32</v>
      </c>
      <c r="D208" t="s">
        <v>485</v>
      </c>
      <c r="E208">
        <v>1</v>
      </c>
      <c r="F208">
        <v>400</v>
      </c>
      <c r="G208" s="6">
        <v>2.4900000000000002</v>
      </c>
      <c r="H208" s="6">
        <f>tbl_ReceiptLines[[#This Row],[Quantity]]*tbl_ReceiptLines[[#This Row],[Unit_Price]]</f>
        <v>2.4900000000000002</v>
      </c>
      <c r="J208">
        <f>tbl_ReceiptLines[[#This Row],[Line_Total]]-tbl_ReceiptLines[[#This Row],[Discount_Info]]</f>
        <v>2.4900000000000002</v>
      </c>
      <c r="L208" s="6">
        <f>tbl_ReceiptLines[[#This Row],[Line_Total]]-tbl_ReceiptLines[[#This Row],[Discount_Info]]</f>
        <v>2.4900000000000002</v>
      </c>
    </row>
    <row r="209" spans="1:12" x14ac:dyDescent="0.3">
      <c r="A209" t="s">
        <v>22</v>
      </c>
      <c r="B209" s="11" t="s">
        <v>20</v>
      </c>
      <c r="C209">
        <v>33</v>
      </c>
      <c r="D209" t="s">
        <v>486</v>
      </c>
      <c r="E209">
        <v>1</v>
      </c>
      <c r="F209">
        <v>200</v>
      </c>
      <c r="G209" s="6">
        <v>1.69</v>
      </c>
      <c r="H209" s="6">
        <f>tbl_ReceiptLines[[#This Row],[Quantity]]*tbl_ReceiptLines[[#This Row],[Unit_Price]]</f>
        <v>1.69</v>
      </c>
      <c r="J209">
        <f>tbl_ReceiptLines[[#This Row],[Line_Total]]-tbl_ReceiptLines[[#This Row],[Discount_Info]]</f>
        <v>1.69</v>
      </c>
      <c r="L209" s="6">
        <f>tbl_ReceiptLines[[#This Row],[Line_Total]]-tbl_ReceiptLines[[#This Row],[Discount_Info]]</f>
        <v>1.69</v>
      </c>
    </row>
    <row r="210" spans="1:12" x14ac:dyDescent="0.3">
      <c r="A210" t="s">
        <v>22</v>
      </c>
      <c r="B210" s="11" t="s">
        <v>20</v>
      </c>
      <c r="C210">
        <v>34</v>
      </c>
      <c r="D210" t="s">
        <v>487</v>
      </c>
      <c r="E210">
        <v>1</v>
      </c>
      <c r="F210">
        <v>400</v>
      </c>
      <c r="G210" s="6">
        <v>3.49</v>
      </c>
      <c r="H210" s="6">
        <f>tbl_ReceiptLines[[#This Row],[Quantity]]*tbl_ReceiptLines[[#This Row],[Unit_Price]]</f>
        <v>3.49</v>
      </c>
      <c r="J210">
        <f>tbl_ReceiptLines[[#This Row],[Line_Total]]-tbl_ReceiptLines[[#This Row],[Discount_Info]]</f>
        <v>3.49</v>
      </c>
      <c r="L210" s="6">
        <f>tbl_ReceiptLines[[#This Row],[Line_Total]]-tbl_ReceiptLines[[#This Row],[Discount_Info]]</f>
        <v>3.49</v>
      </c>
    </row>
    <row r="211" spans="1:12" x14ac:dyDescent="0.3">
      <c r="A211" t="s">
        <v>22</v>
      </c>
      <c r="B211" s="11" t="s">
        <v>20</v>
      </c>
      <c r="C211">
        <v>35</v>
      </c>
      <c r="D211" t="s">
        <v>488</v>
      </c>
      <c r="E211">
        <v>1</v>
      </c>
      <c r="F211">
        <v>100</v>
      </c>
      <c r="G211" s="6">
        <v>0</v>
      </c>
      <c r="H211" s="6">
        <f>tbl_ReceiptLines[[#This Row],[Quantity]]*tbl_ReceiptLines[[#This Row],[Unit_Price]]</f>
        <v>0</v>
      </c>
      <c r="J211">
        <f>tbl_ReceiptLines[[#This Row],[Line_Total]]-tbl_ReceiptLines[[#This Row],[Discount_Info]]</f>
        <v>0</v>
      </c>
      <c r="L211" s="6">
        <f>tbl_ReceiptLines[[#This Row],[Line_Total]]-tbl_ReceiptLines[[#This Row],[Discount_Info]]</f>
        <v>0</v>
      </c>
    </row>
    <row r="212" spans="1:12" x14ac:dyDescent="0.3">
      <c r="A212" t="s">
        <v>22</v>
      </c>
      <c r="B212" s="11" t="s">
        <v>20</v>
      </c>
      <c r="C212">
        <v>36</v>
      </c>
      <c r="D212" t="s">
        <v>489</v>
      </c>
      <c r="E212">
        <v>1</v>
      </c>
      <c r="F212" t="s">
        <v>490</v>
      </c>
      <c r="G212" s="6">
        <v>5.58</v>
      </c>
      <c r="H212" s="6">
        <f>tbl_ReceiptLines[[#This Row],[Quantity]]*tbl_ReceiptLines[[#This Row],[Unit_Price]]</f>
        <v>5.58</v>
      </c>
      <c r="J212">
        <f>tbl_ReceiptLines[[#This Row],[Line_Total]]-tbl_ReceiptLines[[#This Row],[Discount_Info]]</f>
        <v>4.5</v>
      </c>
      <c r="K212" s="6">
        <v>1.08</v>
      </c>
      <c r="L212" s="6">
        <f>tbl_ReceiptLines[[#This Row],[Line_Total]]-tbl_ReceiptLines[[#This Row],[Discount_Info]]</f>
        <v>4.5</v>
      </c>
    </row>
    <row r="213" spans="1:12" x14ac:dyDescent="0.3">
      <c r="A213" t="s">
        <v>22</v>
      </c>
      <c r="B213" s="11" t="s">
        <v>20</v>
      </c>
      <c r="C213">
        <v>37</v>
      </c>
      <c r="D213" t="s">
        <v>491</v>
      </c>
      <c r="E213">
        <v>1</v>
      </c>
      <c r="F213">
        <v>420</v>
      </c>
      <c r="G213" s="6">
        <v>7.49</v>
      </c>
      <c r="H213" s="6">
        <f>tbl_ReceiptLines[[#This Row],[Quantity]]*tbl_ReceiptLines[[#This Row],[Unit_Price]]</f>
        <v>7.49</v>
      </c>
      <c r="J213">
        <f>tbl_ReceiptLines[[#This Row],[Line_Total]]-tbl_ReceiptLines[[#This Row],[Discount_Info]]</f>
        <v>6.99</v>
      </c>
      <c r="K213" s="6">
        <v>0.5</v>
      </c>
      <c r="L213" s="6">
        <f>tbl_ReceiptLines[[#This Row],[Line_Total]]-tbl_ReceiptLines[[#This Row],[Discount_Info]]</f>
        <v>6.99</v>
      </c>
    </row>
    <row r="214" spans="1:12" x14ac:dyDescent="0.3">
      <c r="A214" t="s">
        <v>22</v>
      </c>
      <c r="B214" s="11" t="s">
        <v>20</v>
      </c>
      <c r="C214">
        <v>38</v>
      </c>
      <c r="D214" t="s">
        <v>492</v>
      </c>
      <c r="E214">
        <v>2</v>
      </c>
      <c r="F214">
        <v>170</v>
      </c>
      <c r="G214" s="6">
        <v>1.89</v>
      </c>
      <c r="H214" s="6">
        <f>tbl_ReceiptLines[[#This Row],[Quantity]]*tbl_ReceiptLines[[#This Row],[Unit_Price]]</f>
        <v>3.78</v>
      </c>
      <c r="J214">
        <f>tbl_ReceiptLines[[#This Row],[Line_Total]]-tbl_ReceiptLines[[#This Row],[Discount_Info]]</f>
        <v>1.9999999999999998</v>
      </c>
      <c r="K214" s="6">
        <v>1.78</v>
      </c>
      <c r="L214" s="6">
        <f>tbl_ReceiptLines[[#This Row],[Line_Total]]-tbl_ReceiptLines[[#This Row],[Discount_Info]]</f>
        <v>1.9999999999999998</v>
      </c>
    </row>
    <row r="215" spans="1:12" x14ac:dyDescent="0.3">
      <c r="A215" t="s">
        <v>22</v>
      </c>
      <c r="B215" s="11" t="s">
        <v>20</v>
      </c>
      <c r="C215">
        <v>39</v>
      </c>
      <c r="D215" t="s">
        <v>493</v>
      </c>
      <c r="E215">
        <v>1</v>
      </c>
      <c r="F215">
        <v>75</v>
      </c>
      <c r="G215" s="6">
        <v>0</v>
      </c>
      <c r="H215" s="6">
        <f>tbl_ReceiptLines[[#This Row],[Quantity]]*tbl_ReceiptLines[[#This Row],[Unit_Price]]</f>
        <v>0</v>
      </c>
      <c r="J215">
        <f>tbl_ReceiptLines[[#This Row],[Line_Total]]-tbl_ReceiptLines[[#This Row],[Discount_Info]]</f>
        <v>0</v>
      </c>
      <c r="L215" s="6">
        <f>tbl_ReceiptLines[[#This Row],[Line_Total]]-tbl_ReceiptLines[[#This Row],[Discount_Info]]</f>
        <v>0</v>
      </c>
    </row>
    <row r="216" spans="1:12" x14ac:dyDescent="0.3">
      <c r="A216" s="20" t="s">
        <v>22</v>
      </c>
      <c r="B216" s="21" t="s">
        <v>20</v>
      </c>
      <c r="C216" s="20">
        <v>40</v>
      </c>
      <c r="D216" s="20" t="s">
        <v>494</v>
      </c>
      <c r="E216" s="20">
        <v>1</v>
      </c>
      <c r="F216" s="20">
        <v>75</v>
      </c>
      <c r="G216" s="22">
        <v>3.2</v>
      </c>
      <c r="H216" s="22">
        <f>tbl_ReceiptLines[[#This Row],[Quantity]]*tbl_ReceiptLines[[#This Row],[Unit_Price]]</f>
        <v>3.2</v>
      </c>
      <c r="I216" s="20"/>
      <c r="J216" s="20"/>
      <c r="K216" s="22">
        <v>0.7</v>
      </c>
      <c r="L216" s="22">
        <f>tbl_ReceiptLines[[#This Row],[Line_Total]]-tbl_ReceiptLines[[#This Row],[Discount_Info]]</f>
        <v>2.5</v>
      </c>
    </row>
    <row r="217" spans="1:12" x14ac:dyDescent="0.3">
      <c r="A217" s="20" t="s">
        <v>22</v>
      </c>
      <c r="B217" s="21" t="s">
        <v>20</v>
      </c>
      <c r="C217" s="20">
        <v>41</v>
      </c>
      <c r="D217" s="20" t="s">
        <v>495</v>
      </c>
      <c r="E217" s="20">
        <v>2</v>
      </c>
      <c r="F217" s="20">
        <v>75</v>
      </c>
      <c r="G217" s="22">
        <v>1.55</v>
      </c>
      <c r="H217" s="22">
        <f>tbl_ReceiptLines[[#This Row],[Quantity]]*tbl_ReceiptLines[[#This Row],[Unit_Price]]</f>
        <v>3.1</v>
      </c>
      <c r="I217" s="20"/>
      <c r="J217" s="20">
        <f>tbl_ReceiptLines[[#This Row],[Line_Total]]-tbl_ReceiptLines[[#This Row],[Discount_Info]]</f>
        <v>2.5</v>
      </c>
      <c r="K217" s="22">
        <v>0.6</v>
      </c>
      <c r="L217" s="22">
        <f>tbl_ReceiptLines[[#This Row],[Line_Total]]-tbl_ReceiptLines[[#This Row],[Discount_Info]]</f>
        <v>2.5</v>
      </c>
    </row>
    <row r="218" spans="1:12" hidden="1" x14ac:dyDescent="0.3">
      <c r="A218" t="s">
        <v>35</v>
      </c>
      <c r="B218" s="11" t="s">
        <v>564</v>
      </c>
      <c r="C218">
        <v>1</v>
      </c>
      <c r="D218" t="s">
        <v>310</v>
      </c>
      <c r="E218">
        <v>2</v>
      </c>
      <c r="F218">
        <v>500</v>
      </c>
      <c r="G218" s="6">
        <v>1.19</v>
      </c>
      <c r="H218" s="6">
        <f>tbl_ReceiptLines[[#This Row],[Quantity]]*tbl_ReceiptLines[[#This Row],[Unit_Price]]</f>
        <v>2.38</v>
      </c>
      <c r="J218">
        <f>tbl_ReceiptLines[[#This Row],[Line_Total]]-tbl_ReceiptLines[[#This Row],[Discount_Info]]</f>
        <v>2.34</v>
      </c>
      <c r="K218" s="6">
        <v>0.04</v>
      </c>
      <c r="L218" s="6">
        <f>tbl_ReceiptLines[[#This Row],[Line_Total]]-tbl_ReceiptLines[[#This Row],[Discount_Info]]</f>
        <v>2.34</v>
      </c>
    </row>
    <row r="219" spans="1:12" hidden="1" x14ac:dyDescent="0.3">
      <c r="A219" t="s">
        <v>35</v>
      </c>
      <c r="B219" s="11" t="s">
        <v>564</v>
      </c>
      <c r="C219">
        <v>2</v>
      </c>
      <c r="D219" t="s">
        <v>316</v>
      </c>
      <c r="E219">
        <v>1</v>
      </c>
      <c r="F219">
        <v>800</v>
      </c>
      <c r="G219" s="6">
        <v>2.39</v>
      </c>
      <c r="H219" s="6">
        <f>tbl_ReceiptLines[[#This Row],[Quantity]]*tbl_ReceiptLines[[#This Row],[Unit_Price]]</f>
        <v>2.39</v>
      </c>
      <c r="J219">
        <f>tbl_ReceiptLines[[#This Row],[Line_Total]]-tbl_ReceiptLines[[#This Row],[Discount_Info]]</f>
        <v>2.39</v>
      </c>
      <c r="L219" s="6">
        <f>tbl_ReceiptLines[[#This Row],[Line_Total]]-tbl_ReceiptLines[[#This Row],[Discount_Info]]</f>
        <v>2.39</v>
      </c>
    </row>
    <row r="220" spans="1:12" hidden="1" x14ac:dyDescent="0.3">
      <c r="A220" t="s">
        <v>35</v>
      </c>
      <c r="B220" s="11" t="s">
        <v>564</v>
      </c>
      <c r="C220">
        <v>3</v>
      </c>
      <c r="D220" t="s">
        <v>318</v>
      </c>
      <c r="E220">
        <v>1</v>
      </c>
      <c r="F220" t="s">
        <v>464</v>
      </c>
      <c r="G220" s="6">
        <v>9.9499999999999993</v>
      </c>
      <c r="H220" s="6">
        <f>tbl_ReceiptLines[[#This Row],[Quantity]]*tbl_ReceiptLines[[#This Row],[Unit_Price]]</f>
        <v>9.9499999999999993</v>
      </c>
      <c r="J220">
        <f>tbl_ReceiptLines[[#This Row],[Line_Total]]-tbl_ReceiptLines[[#This Row],[Discount_Info]]</f>
        <v>9.9499999999999993</v>
      </c>
      <c r="L220" s="6">
        <f>tbl_ReceiptLines[[#This Row],[Line_Total]]-tbl_ReceiptLines[[#This Row],[Discount_Info]]</f>
        <v>9.9499999999999993</v>
      </c>
    </row>
    <row r="221" spans="1:12" hidden="1" x14ac:dyDescent="0.3">
      <c r="A221" t="s">
        <v>35</v>
      </c>
      <c r="B221" s="11" t="s">
        <v>564</v>
      </c>
      <c r="C221">
        <v>4</v>
      </c>
      <c r="D221" t="s">
        <v>465</v>
      </c>
      <c r="E221">
        <v>1</v>
      </c>
      <c r="F221">
        <v>5</v>
      </c>
      <c r="G221" s="6">
        <v>1.45</v>
      </c>
      <c r="H221" s="6">
        <f>tbl_ReceiptLines[[#This Row],[Quantity]]*tbl_ReceiptLines[[#This Row],[Unit_Price]]</f>
        <v>1.45</v>
      </c>
      <c r="J221">
        <f>tbl_ReceiptLines[[#This Row],[Line_Total]]-tbl_ReceiptLines[[#This Row],[Discount_Info]]</f>
        <v>1.45</v>
      </c>
      <c r="L221" s="6">
        <f>tbl_ReceiptLines[[#This Row],[Line_Total]]-tbl_ReceiptLines[[#This Row],[Discount_Info]]</f>
        <v>1.45</v>
      </c>
    </row>
    <row r="222" spans="1:12" hidden="1" x14ac:dyDescent="0.3">
      <c r="A222" t="s">
        <v>35</v>
      </c>
      <c r="B222" s="11" t="s">
        <v>564</v>
      </c>
      <c r="C222">
        <v>5</v>
      </c>
      <c r="D222" t="s">
        <v>466</v>
      </c>
      <c r="E222">
        <v>1</v>
      </c>
      <c r="F222">
        <v>4</v>
      </c>
      <c r="G222" s="6">
        <v>2.99</v>
      </c>
      <c r="H222" s="6">
        <f>tbl_ReceiptLines[[#This Row],[Quantity]]*tbl_ReceiptLines[[#This Row],[Unit_Price]]</f>
        <v>2.99</v>
      </c>
      <c r="J222">
        <f>tbl_ReceiptLines[[#This Row],[Line_Total]]-tbl_ReceiptLines[[#This Row],[Discount_Info]]</f>
        <v>2.99</v>
      </c>
      <c r="L222" s="6">
        <f>tbl_ReceiptLines[[#This Row],[Line_Total]]-tbl_ReceiptLines[[#This Row],[Discount_Info]]</f>
        <v>2.99</v>
      </c>
    </row>
    <row r="223" spans="1:12" hidden="1" x14ac:dyDescent="0.3">
      <c r="A223" t="s">
        <v>35</v>
      </c>
      <c r="B223" s="11" t="s">
        <v>564</v>
      </c>
      <c r="C223">
        <v>6</v>
      </c>
      <c r="D223" t="s">
        <v>347</v>
      </c>
      <c r="E223">
        <v>3</v>
      </c>
      <c r="F223">
        <v>200</v>
      </c>
      <c r="G223" s="6">
        <v>1.59</v>
      </c>
      <c r="H223" s="6">
        <f>tbl_ReceiptLines[[#This Row],[Quantity]]*tbl_ReceiptLines[[#This Row],[Unit_Price]]</f>
        <v>4.7700000000000005</v>
      </c>
      <c r="J223">
        <f>tbl_ReceiptLines[[#This Row],[Line_Total]]-tbl_ReceiptLines[[#This Row],[Discount_Info]]</f>
        <v>4.6500000000000004</v>
      </c>
      <c r="K223" s="6">
        <v>0.12</v>
      </c>
      <c r="L223" s="6">
        <f>tbl_ReceiptLines[[#This Row],[Line_Total]]-tbl_ReceiptLines[[#This Row],[Discount_Info]]</f>
        <v>4.6500000000000004</v>
      </c>
    </row>
    <row r="224" spans="1:12" hidden="1" x14ac:dyDescent="0.3">
      <c r="A224" t="s">
        <v>35</v>
      </c>
      <c r="B224" s="11" t="s">
        <v>564</v>
      </c>
      <c r="C224">
        <v>7</v>
      </c>
      <c r="D224" t="s">
        <v>323</v>
      </c>
      <c r="E224">
        <v>1</v>
      </c>
      <c r="F224">
        <v>1000</v>
      </c>
      <c r="G224" s="6">
        <v>3.99</v>
      </c>
      <c r="H224" s="6">
        <f>tbl_ReceiptLines[[#This Row],[Quantity]]*tbl_ReceiptLines[[#This Row],[Unit_Price]]</f>
        <v>3.99</v>
      </c>
      <c r="J224">
        <f>tbl_ReceiptLines[[#This Row],[Line_Total]]-tbl_ReceiptLines[[#This Row],[Discount_Info]]</f>
        <v>3.99</v>
      </c>
      <c r="L224" s="6">
        <f>tbl_ReceiptLines[[#This Row],[Line_Total]]-tbl_ReceiptLines[[#This Row],[Discount_Info]]</f>
        <v>3.99</v>
      </c>
    </row>
    <row r="225" spans="1:12" hidden="1" x14ac:dyDescent="0.3">
      <c r="A225" t="s">
        <v>35</v>
      </c>
      <c r="B225" s="11" t="s">
        <v>564</v>
      </c>
      <c r="C225">
        <v>8</v>
      </c>
      <c r="D225" t="s">
        <v>468</v>
      </c>
      <c r="E225">
        <v>1</v>
      </c>
      <c r="F225">
        <v>150</v>
      </c>
      <c r="G225" s="6">
        <v>3.59</v>
      </c>
      <c r="H225" s="6">
        <f>tbl_ReceiptLines[[#This Row],[Quantity]]*tbl_ReceiptLines[[#This Row],[Unit_Price]]</f>
        <v>3.59</v>
      </c>
      <c r="J225">
        <f>tbl_ReceiptLines[[#This Row],[Line_Total]]-tbl_ReceiptLines[[#This Row],[Discount_Info]]</f>
        <v>3.59</v>
      </c>
      <c r="L225" s="6">
        <f>tbl_ReceiptLines[[#This Row],[Line_Total]]-tbl_ReceiptLines[[#This Row],[Discount_Info]]</f>
        <v>3.59</v>
      </c>
    </row>
    <row r="226" spans="1:12" hidden="1" x14ac:dyDescent="0.3">
      <c r="A226" t="s">
        <v>35</v>
      </c>
      <c r="B226" s="11" t="s">
        <v>564</v>
      </c>
      <c r="C226">
        <v>9</v>
      </c>
      <c r="D226" t="s">
        <v>496</v>
      </c>
      <c r="E226">
        <v>1</v>
      </c>
      <c r="F226">
        <v>15</v>
      </c>
      <c r="G226" s="6">
        <v>3.99</v>
      </c>
      <c r="H226" s="6">
        <f>tbl_ReceiptLines[[#This Row],[Quantity]]*tbl_ReceiptLines[[#This Row],[Unit_Price]]</f>
        <v>3.99</v>
      </c>
      <c r="J226">
        <f>tbl_ReceiptLines[[#This Row],[Line_Total]]-tbl_ReceiptLines[[#This Row],[Discount_Info]]</f>
        <v>3.99</v>
      </c>
      <c r="L226" s="6">
        <f>tbl_ReceiptLines[[#This Row],[Line_Total]]-tbl_ReceiptLines[[#This Row],[Discount_Info]]</f>
        <v>3.99</v>
      </c>
    </row>
    <row r="227" spans="1:12" hidden="1" x14ac:dyDescent="0.3">
      <c r="A227" t="s">
        <v>35</v>
      </c>
      <c r="B227" s="11" t="s">
        <v>564</v>
      </c>
      <c r="C227">
        <v>10</v>
      </c>
      <c r="D227" t="s">
        <v>497</v>
      </c>
      <c r="E227">
        <v>1</v>
      </c>
      <c r="F227">
        <v>375</v>
      </c>
      <c r="G227" s="6">
        <v>3.09</v>
      </c>
      <c r="H227" s="6">
        <f>tbl_ReceiptLines[[#This Row],[Quantity]]*tbl_ReceiptLines[[#This Row],[Unit_Price]]</f>
        <v>3.09</v>
      </c>
      <c r="J227">
        <f>tbl_ReceiptLines[[#This Row],[Line_Total]]-tbl_ReceiptLines[[#This Row],[Discount_Info]]</f>
        <v>3.09</v>
      </c>
      <c r="L227" s="6">
        <f>tbl_ReceiptLines[[#This Row],[Line_Total]]-tbl_ReceiptLines[[#This Row],[Discount_Info]]</f>
        <v>3.09</v>
      </c>
    </row>
    <row r="228" spans="1:12" hidden="1" x14ac:dyDescent="0.3">
      <c r="A228" t="s">
        <v>35</v>
      </c>
      <c r="B228" s="11" t="s">
        <v>564</v>
      </c>
      <c r="C228">
        <v>11</v>
      </c>
      <c r="D228" t="s">
        <v>322</v>
      </c>
      <c r="E228">
        <v>2</v>
      </c>
      <c r="F228">
        <v>1</v>
      </c>
      <c r="G228" s="6">
        <v>2.4900000000000002</v>
      </c>
      <c r="H228" s="6">
        <f>tbl_ReceiptLines[[#This Row],[Quantity]]*tbl_ReceiptLines[[#This Row],[Unit_Price]]</f>
        <v>4.9800000000000004</v>
      </c>
      <c r="J228">
        <f>tbl_ReceiptLines[[#This Row],[Line_Total]]-tbl_ReceiptLines[[#This Row],[Discount_Info]]</f>
        <v>3.7500000000000004</v>
      </c>
      <c r="K228" s="6">
        <v>1.23</v>
      </c>
      <c r="L228" s="6">
        <f>tbl_ReceiptLines[[#This Row],[Line_Total]]-tbl_ReceiptLines[[#This Row],[Discount_Info]]</f>
        <v>3.7500000000000004</v>
      </c>
    </row>
    <row r="229" spans="1:12" hidden="1" x14ac:dyDescent="0.3">
      <c r="A229" t="s">
        <v>35</v>
      </c>
      <c r="B229" s="11" t="s">
        <v>564</v>
      </c>
      <c r="C229">
        <v>12</v>
      </c>
      <c r="D229" t="s">
        <v>498</v>
      </c>
      <c r="E229">
        <v>2</v>
      </c>
      <c r="F229">
        <v>1</v>
      </c>
      <c r="G229" s="6">
        <v>2.4900000000000002</v>
      </c>
      <c r="H229" s="6">
        <f>tbl_ReceiptLines[[#This Row],[Quantity]]*tbl_ReceiptLines[[#This Row],[Unit_Price]]</f>
        <v>4.9800000000000004</v>
      </c>
      <c r="J229">
        <f>tbl_ReceiptLines[[#This Row],[Line_Total]]-tbl_ReceiptLines[[#This Row],[Discount_Info]]</f>
        <v>3.7500000000000004</v>
      </c>
      <c r="K229" s="6">
        <v>1.23</v>
      </c>
      <c r="L229" s="6">
        <f>tbl_ReceiptLines[[#This Row],[Line_Total]]-tbl_ReceiptLines[[#This Row],[Discount_Info]]</f>
        <v>3.7500000000000004</v>
      </c>
    </row>
    <row r="230" spans="1:12" hidden="1" x14ac:dyDescent="0.3">
      <c r="A230" t="s">
        <v>35</v>
      </c>
      <c r="B230" s="11" t="s">
        <v>564</v>
      </c>
      <c r="C230">
        <v>13</v>
      </c>
      <c r="D230" t="s">
        <v>499</v>
      </c>
      <c r="E230">
        <v>1</v>
      </c>
      <c r="F230">
        <v>150</v>
      </c>
      <c r="G230" s="6">
        <v>2.79</v>
      </c>
      <c r="H230" s="6">
        <f>tbl_ReceiptLines[[#This Row],[Quantity]]*tbl_ReceiptLines[[#This Row],[Unit_Price]]</f>
        <v>2.79</v>
      </c>
      <c r="J230">
        <f>tbl_ReceiptLines[[#This Row],[Line_Total]]-tbl_ReceiptLines[[#This Row],[Discount_Info]]</f>
        <v>2.79</v>
      </c>
      <c r="L230" s="6">
        <f>tbl_ReceiptLines[[#This Row],[Line_Total]]-tbl_ReceiptLines[[#This Row],[Discount_Info]]</f>
        <v>2.79</v>
      </c>
    </row>
    <row r="231" spans="1:12" hidden="1" x14ac:dyDescent="0.3">
      <c r="A231" t="s">
        <v>35</v>
      </c>
      <c r="B231" s="11" t="s">
        <v>564</v>
      </c>
      <c r="C231">
        <v>14</v>
      </c>
      <c r="D231" t="s">
        <v>500</v>
      </c>
      <c r="E231">
        <v>1</v>
      </c>
      <c r="F231">
        <v>90</v>
      </c>
      <c r="G231" s="6">
        <v>2.65</v>
      </c>
      <c r="H231" s="6">
        <f>tbl_ReceiptLines[[#This Row],[Quantity]]*tbl_ReceiptLines[[#This Row],[Unit_Price]]</f>
        <v>2.65</v>
      </c>
      <c r="J231">
        <f>tbl_ReceiptLines[[#This Row],[Line_Total]]-tbl_ReceiptLines[[#This Row],[Discount_Info]]</f>
        <v>2.65</v>
      </c>
      <c r="L231" s="6">
        <f>tbl_ReceiptLines[[#This Row],[Line_Total]]-tbl_ReceiptLines[[#This Row],[Discount_Info]]</f>
        <v>2.65</v>
      </c>
    </row>
    <row r="232" spans="1:12" hidden="1" x14ac:dyDescent="0.3">
      <c r="A232" t="s">
        <v>35</v>
      </c>
      <c r="B232" s="11" t="s">
        <v>564</v>
      </c>
      <c r="C232">
        <v>15</v>
      </c>
      <c r="D232" t="s">
        <v>489</v>
      </c>
      <c r="E232">
        <v>1</v>
      </c>
      <c r="F232">
        <v>80</v>
      </c>
      <c r="G232" s="6">
        <v>2.69</v>
      </c>
      <c r="H232" s="6">
        <f>tbl_ReceiptLines[[#This Row],[Quantity]]*tbl_ReceiptLines[[#This Row],[Unit_Price]]</f>
        <v>2.69</v>
      </c>
      <c r="J232">
        <f>tbl_ReceiptLines[[#This Row],[Line_Total]]-tbl_ReceiptLines[[#This Row],[Discount_Info]]</f>
        <v>2.69</v>
      </c>
      <c r="L232" s="6">
        <f>tbl_ReceiptLines[[#This Row],[Line_Total]]-tbl_ReceiptLines[[#This Row],[Discount_Info]]</f>
        <v>2.69</v>
      </c>
    </row>
    <row r="233" spans="1:12" hidden="1" x14ac:dyDescent="0.3">
      <c r="A233" t="s">
        <v>35</v>
      </c>
      <c r="B233" s="11" t="s">
        <v>564</v>
      </c>
      <c r="C233">
        <v>16</v>
      </c>
      <c r="D233" t="s">
        <v>501</v>
      </c>
      <c r="E233">
        <v>1</v>
      </c>
      <c r="F233">
        <v>150</v>
      </c>
      <c r="G233" s="6">
        <v>3.59</v>
      </c>
      <c r="H233" s="6">
        <f>tbl_ReceiptLines[[#This Row],[Quantity]]*tbl_ReceiptLines[[#This Row],[Unit_Price]]</f>
        <v>3.59</v>
      </c>
      <c r="J233">
        <f>tbl_ReceiptLines[[#This Row],[Line_Total]]-tbl_ReceiptLines[[#This Row],[Discount_Info]]</f>
        <v>3.59</v>
      </c>
      <c r="L233" s="6">
        <f>tbl_ReceiptLines[[#This Row],[Line_Total]]-tbl_ReceiptLines[[#This Row],[Discount_Info]]</f>
        <v>3.59</v>
      </c>
    </row>
    <row r="234" spans="1:12" hidden="1" x14ac:dyDescent="0.3">
      <c r="A234" t="s">
        <v>35</v>
      </c>
      <c r="B234" s="11" t="s">
        <v>564</v>
      </c>
      <c r="C234">
        <v>17</v>
      </c>
      <c r="D234" t="s">
        <v>488</v>
      </c>
      <c r="E234">
        <v>1</v>
      </c>
      <c r="F234">
        <v>100</v>
      </c>
      <c r="G234" s="6">
        <v>0</v>
      </c>
      <c r="H234" s="6">
        <f>tbl_ReceiptLines[[#This Row],[Quantity]]*tbl_ReceiptLines[[#This Row],[Unit_Price]]</f>
        <v>0</v>
      </c>
      <c r="J234">
        <f>tbl_ReceiptLines[[#This Row],[Line_Total]]-tbl_ReceiptLines[[#This Row],[Discount_Info]]</f>
        <v>0</v>
      </c>
      <c r="L234" s="6">
        <f>tbl_ReceiptLines[[#This Row],[Line_Total]]-tbl_ReceiptLines[[#This Row],[Discount_Info]]</f>
        <v>0</v>
      </c>
    </row>
    <row r="235" spans="1:12" hidden="1" x14ac:dyDescent="0.3">
      <c r="A235" t="s">
        <v>35</v>
      </c>
      <c r="B235" s="11" t="s">
        <v>564</v>
      </c>
      <c r="C235">
        <v>18</v>
      </c>
      <c r="D235" t="s">
        <v>502</v>
      </c>
      <c r="E235">
        <v>1</v>
      </c>
      <c r="F235">
        <v>60</v>
      </c>
      <c r="G235" s="6">
        <v>5.48</v>
      </c>
      <c r="H235" s="6">
        <f>tbl_ReceiptLines[[#This Row],[Quantity]]*tbl_ReceiptLines[[#This Row],[Unit_Price]]</f>
        <v>5.48</v>
      </c>
      <c r="J235">
        <f>tbl_ReceiptLines[[#This Row],[Line_Total]]-tbl_ReceiptLines[[#This Row],[Discount_Info]]</f>
        <v>4</v>
      </c>
      <c r="K235" s="6">
        <v>1.48</v>
      </c>
      <c r="L235" s="6">
        <f>tbl_ReceiptLines[[#This Row],[Line_Total]]-tbl_ReceiptLines[[#This Row],[Discount_Info]]</f>
        <v>4</v>
      </c>
    </row>
    <row r="236" spans="1:12" hidden="1" x14ac:dyDescent="0.3">
      <c r="A236" t="s">
        <v>35</v>
      </c>
      <c r="B236" s="11" t="s">
        <v>564</v>
      </c>
      <c r="C236">
        <v>19</v>
      </c>
      <c r="D236" t="s">
        <v>503</v>
      </c>
      <c r="E236">
        <v>1</v>
      </c>
      <c r="F236">
        <v>500</v>
      </c>
      <c r="G236" s="6">
        <v>1.99</v>
      </c>
      <c r="H236" s="6">
        <f>tbl_ReceiptLines[[#This Row],[Quantity]]*tbl_ReceiptLines[[#This Row],[Unit_Price]]</f>
        <v>1.99</v>
      </c>
      <c r="J236">
        <f>tbl_ReceiptLines[[#This Row],[Line_Total]]-tbl_ReceiptLines[[#This Row],[Discount_Info]]</f>
        <v>1.99</v>
      </c>
      <c r="L236" s="6">
        <f>tbl_ReceiptLines[[#This Row],[Line_Total]]-tbl_ReceiptLines[[#This Row],[Discount_Info]]</f>
        <v>1.99</v>
      </c>
    </row>
    <row r="237" spans="1:12" hidden="1" x14ac:dyDescent="0.3">
      <c r="A237" t="s">
        <v>35</v>
      </c>
      <c r="B237" s="11" t="s">
        <v>564</v>
      </c>
      <c r="C237">
        <v>20</v>
      </c>
      <c r="D237" s="15" t="s">
        <v>479</v>
      </c>
      <c r="E237">
        <v>2</v>
      </c>
      <c r="F237">
        <v>300</v>
      </c>
      <c r="G237" s="6">
        <v>3.99</v>
      </c>
      <c r="H237" s="6">
        <f>tbl_ReceiptLines[[#This Row],[Quantity]]*tbl_ReceiptLines[[#This Row],[Unit_Price]]</f>
        <v>7.98</v>
      </c>
      <c r="J237">
        <f>tbl_ReceiptLines[[#This Row],[Line_Total]]-tbl_ReceiptLines[[#This Row],[Discount_Info]]</f>
        <v>7.78</v>
      </c>
      <c r="K237" s="6">
        <v>0.2</v>
      </c>
      <c r="L237" s="6">
        <f>tbl_ReceiptLines[[#This Row],[Line_Total]]-tbl_ReceiptLines[[#This Row],[Discount_Info]]</f>
        <v>7.78</v>
      </c>
    </row>
    <row r="238" spans="1:12" hidden="1" x14ac:dyDescent="0.3">
      <c r="A238" t="s">
        <v>35</v>
      </c>
      <c r="B238" s="11" t="s">
        <v>564</v>
      </c>
      <c r="C238">
        <v>21</v>
      </c>
      <c r="D238" t="s">
        <v>485</v>
      </c>
      <c r="E238">
        <v>1</v>
      </c>
      <c r="F238">
        <v>400</v>
      </c>
      <c r="G238" s="6">
        <v>2.4900000000000002</v>
      </c>
      <c r="H238" s="6">
        <f>tbl_ReceiptLines[[#This Row],[Quantity]]*tbl_ReceiptLines[[#This Row],[Unit_Price]]</f>
        <v>2.4900000000000002</v>
      </c>
      <c r="J238">
        <f>tbl_ReceiptLines[[#This Row],[Line_Total]]-tbl_ReceiptLines[[#This Row],[Discount_Info]]</f>
        <v>2.1900000000000004</v>
      </c>
      <c r="K238" s="6">
        <v>0.3</v>
      </c>
      <c r="L238" s="6">
        <f>tbl_ReceiptLines[[#This Row],[Line_Total]]-tbl_ReceiptLines[[#This Row],[Discount_Info]]</f>
        <v>2.1900000000000004</v>
      </c>
    </row>
    <row r="239" spans="1:12" hidden="1" x14ac:dyDescent="0.3">
      <c r="A239" t="s">
        <v>35</v>
      </c>
      <c r="B239" s="11" t="s">
        <v>564</v>
      </c>
      <c r="C239">
        <v>22</v>
      </c>
      <c r="D239" t="s">
        <v>257</v>
      </c>
      <c r="E239">
        <v>1</v>
      </c>
      <c r="F239">
        <v>170</v>
      </c>
      <c r="G239" s="6">
        <v>0.69</v>
      </c>
      <c r="H239" s="6">
        <f>tbl_ReceiptLines[[#This Row],[Quantity]]*tbl_ReceiptLines[[#This Row],[Unit_Price]]</f>
        <v>0.69</v>
      </c>
      <c r="J239">
        <f>tbl_ReceiptLines[[#This Row],[Line_Total]]-tbl_ReceiptLines[[#This Row],[Discount_Info]]</f>
        <v>0.69</v>
      </c>
      <c r="L239" s="6">
        <f>tbl_ReceiptLines[[#This Row],[Line_Total]]-tbl_ReceiptLines[[#This Row],[Discount_Info]]</f>
        <v>0.69</v>
      </c>
    </row>
    <row r="240" spans="1:12" hidden="1" x14ac:dyDescent="0.3">
      <c r="A240" t="s">
        <v>35</v>
      </c>
      <c r="B240" s="11" t="s">
        <v>564</v>
      </c>
      <c r="C240">
        <v>23</v>
      </c>
      <c r="D240" t="s">
        <v>486</v>
      </c>
      <c r="E240">
        <v>1</v>
      </c>
      <c r="F240">
        <v>200</v>
      </c>
      <c r="G240" s="6">
        <v>1.69</v>
      </c>
      <c r="H240" s="6">
        <f>tbl_ReceiptLines[[#This Row],[Quantity]]*tbl_ReceiptLines[[#This Row],[Unit_Price]]</f>
        <v>1.69</v>
      </c>
      <c r="J240">
        <f>tbl_ReceiptLines[[#This Row],[Line_Total]]-tbl_ReceiptLines[[#This Row],[Discount_Info]]</f>
        <v>1.69</v>
      </c>
      <c r="L240" s="6">
        <f>tbl_ReceiptLines[[#This Row],[Line_Total]]-tbl_ReceiptLines[[#This Row],[Discount_Info]]</f>
        <v>1.69</v>
      </c>
    </row>
    <row r="241" spans="1:12" hidden="1" x14ac:dyDescent="0.3">
      <c r="A241" t="s">
        <v>35</v>
      </c>
      <c r="B241" s="11" t="s">
        <v>564</v>
      </c>
      <c r="C241">
        <v>24</v>
      </c>
      <c r="D241" t="s">
        <v>504</v>
      </c>
      <c r="E241">
        <v>1</v>
      </c>
      <c r="F241">
        <v>200</v>
      </c>
      <c r="G241" s="6">
        <v>1.99</v>
      </c>
      <c r="H241" s="6">
        <f>tbl_ReceiptLines[[#This Row],[Quantity]]*tbl_ReceiptLines[[#This Row],[Unit_Price]]</f>
        <v>1.99</v>
      </c>
      <c r="J241">
        <f>tbl_ReceiptLines[[#This Row],[Line_Total]]-tbl_ReceiptLines[[#This Row],[Discount_Info]]</f>
        <v>1.99</v>
      </c>
      <c r="L241" s="6">
        <f>tbl_ReceiptLines[[#This Row],[Line_Total]]-tbl_ReceiptLines[[#This Row],[Discount_Info]]</f>
        <v>1.99</v>
      </c>
    </row>
    <row r="242" spans="1:12" hidden="1" x14ac:dyDescent="0.3">
      <c r="A242" t="s">
        <v>35</v>
      </c>
      <c r="B242" s="11" t="s">
        <v>564</v>
      </c>
      <c r="C242">
        <v>25</v>
      </c>
      <c r="D242" t="s">
        <v>505</v>
      </c>
      <c r="E242">
        <v>1</v>
      </c>
      <c r="F242">
        <v>125</v>
      </c>
      <c r="G242" s="6">
        <v>3.79</v>
      </c>
      <c r="H242" s="6">
        <f>tbl_ReceiptLines[[#This Row],[Quantity]]*tbl_ReceiptLines[[#This Row],[Unit_Price]]</f>
        <v>3.79</v>
      </c>
      <c r="J242">
        <f>tbl_ReceiptLines[[#This Row],[Line_Total]]-tbl_ReceiptLines[[#This Row],[Discount_Info]]</f>
        <v>2.6500000000000004</v>
      </c>
      <c r="K242" s="6">
        <v>1.1399999999999999</v>
      </c>
      <c r="L242" s="6">
        <f>tbl_ReceiptLines[[#This Row],[Line_Total]]-tbl_ReceiptLines[[#This Row],[Discount_Info]]</f>
        <v>2.6500000000000004</v>
      </c>
    </row>
    <row r="243" spans="1:12" hidden="1" x14ac:dyDescent="0.3">
      <c r="A243" t="s">
        <v>35</v>
      </c>
      <c r="B243" s="11" t="s">
        <v>564</v>
      </c>
      <c r="C243">
        <v>26</v>
      </c>
      <c r="D243" t="s">
        <v>506</v>
      </c>
      <c r="E243">
        <v>1</v>
      </c>
      <c r="F243">
        <v>300</v>
      </c>
      <c r="G243" s="6">
        <v>1.0900000000000001</v>
      </c>
      <c r="H243" s="6">
        <f>tbl_ReceiptLines[[#This Row],[Quantity]]*tbl_ReceiptLines[[#This Row],[Unit_Price]]</f>
        <v>1.0900000000000001</v>
      </c>
      <c r="J243">
        <f>tbl_ReceiptLines[[#This Row],[Line_Total]]-tbl_ReceiptLines[[#This Row],[Discount_Info]]</f>
        <v>1.0900000000000001</v>
      </c>
      <c r="L243" s="6">
        <f>tbl_ReceiptLines[[#This Row],[Line_Total]]-tbl_ReceiptLines[[#This Row],[Discount_Info]]</f>
        <v>1.0900000000000001</v>
      </c>
    </row>
    <row r="244" spans="1:12" hidden="1" x14ac:dyDescent="0.3">
      <c r="A244" t="s">
        <v>35</v>
      </c>
      <c r="B244" s="11" t="s">
        <v>564</v>
      </c>
      <c r="C244">
        <v>27</v>
      </c>
      <c r="D244" t="s">
        <v>507</v>
      </c>
      <c r="E244">
        <v>1</v>
      </c>
      <c r="F244">
        <v>40</v>
      </c>
      <c r="G244" s="6">
        <v>1.39</v>
      </c>
      <c r="H244" s="6">
        <f>tbl_ReceiptLines[[#This Row],[Quantity]]*tbl_ReceiptLines[[#This Row],[Unit_Price]]</f>
        <v>1.39</v>
      </c>
      <c r="J244">
        <f>tbl_ReceiptLines[[#This Row],[Line_Total]]-tbl_ReceiptLines[[#This Row],[Discount_Info]]</f>
        <v>1.39</v>
      </c>
      <c r="L244" s="6">
        <f>tbl_ReceiptLines[[#This Row],[Line_Total]]-tbl_ReceiptLines[[#This Row],[Discount_Info]]</f>
        <v>1.39</v>
      </c>
    </row>
    <row r="245" spans="1:12" hidden="1" x14ac:dyDescent="0.3">
      <c r="A245" t="s">
        <v>35</v>
      </c>
      <c r="B245" s="11" t="s">
        <v>564</v>
      </c>
      <c r="C245">
        <v>28</v>
      </c>
      <c r="D245" t="s">
        <v>508</v>
      </c>
      <c r="E245">
        <v>1</v>
      </c>
      <c r="F245">
        <v>500</v>
      </c>
      <c r="G245" s="6">
        <v>1.45</v>
      </c>
      <c r="H245" s="6">
        <f>tbl_ReceiptLines[[#This Row],[Quantity]]*tbl_ReceiptLines[[#This Row],[Unit_Price]]</f>
        <v>1.45</v>
      </c>
      <c r="J245">
        <f>tbl_ReceiptLines[[#This Row],[Line_Total]]-tbl_ReceiptLines[[#This Row],[Discount_Info]]</f>
        <v>1.45</v>
      </c>
      <c r="L245" s="6">
        <f>tbl_ReceiptLines[[#This Row],[Line_Total]]-tbl_ReceiptLines[[#This Row],[Discount_Info]]</f>
        <v>1.45</v>
      </c>
    </row>
    <row r="246" spans="1:12" hidden="1" x14ac:dyDescent="0.3">
      <c r="A246" t="s">
        <v>35</v>
      </c>
      <c r="B246" s="11" t="s">
        <v>564</v>
      </c>
      <c r="C246">
        <v>29</v>
      </c>
      <c r="D246" s="15" t="s">
        <v>509</v>
      </c>
      <c r="E246">
        <v>2</v>
      </c>
      <c r="F246">
        <v>200</v>
      </c>
      <c r="G246" s="6">
        <v>3.99</v>
      </c>
      <c r="H246" s="6">
        <f>tbl_ReceiptLines[[#This Row],[Quantity]]*tbl_ReceiptLines[[#This Row],[Unit_Price]]</f>
        <v>7.98</v>
      </c>
      <c r="J246">
        <f>tbl_ReceiptLines[[#This Row],[Line_Total]]-tbl_ReceiptLines[[#This Row],[Discount_Info]]</f>
        <v>7.78</v>
      </c>
      <c r="K246" s="6">
        <v>0.2</v>
      </c>
      <c r="L246" s="6">
        <f>tbl_ReceiptLines[[#This Row],[Line_Total]]-tbl_ReceiptLines[[#This Row],[Discount_Info]]</f>
        <v>7.78</v>
      </c>
    </row>
    <row r="247" spans="1:12" hidden="1" x14ac:dyDescent="0.3">
      <c r="A247" t="s">
        <v>35</v>
      </c>
      <c r="B247" s="11" t="s">
        <v>564</v>
      </c>
      <c r="C247">
        <v>30</v>
      </c>
      <c r="D247" t="s">
        <v>510</v>
      </c>
      <c r="E247">
        <v>1</v>
      </c>
      <c r="F247">
        <v>6</v>
      </c>
      <c r="G247" s="6">
        <v>2.89</v>
      </c>
      <c r="H247" s="6">
        <f>tbl_ReceiptLines[[#This Row],[Quantity]]*tbl_ReceiptLines[[#This Row],[Unit_Price]]</f>
        <v>2.89</v>
      </c>
      <c r="J247">
        <f>tbl_ReceiptLines[[#This Row],[Line_Total]]-tbl_ReceiptLines[[#This Row],[Discount_Info]]</f>
        <v>2.89</v>
      </c>
      <c r="L247" s="6">
        <f>tbl_ReceiptLines[[#This Row],[Line_Total]]-tbl_ReceiptLines[[#This Row],[Discount_Info]]</f>
        <v>2.89</v>
      </c>
    </row>
    <row r="248" spans="1:12" hidden="1" x14ac:dyDescent="0.3">
      <c r="A248" t="s">
        <v>35</v>
      </c>
      <c r="B248" s="11" t="s">
        <v>564</v>
      </c>
      <c r="C248">
        <v>31</v>
      </c>
      <c r="D248" t="s">
        <v>258</v>
      </c>
      <c r="E248">
        <v>1</v>
      </c>
      <c r="F248">
        <v>1</v>
      </c>
      <c r="G248" s="6">
        <v>0.85</v>
      </c>
      <c r="H248" s="6">
        <f>tbl_ReceiptLines[[#This Row],[Quantity]]*tbl_ReceiptLines[[#This Row],[Unit_Price]]</f>
        <v>0.85</v>
      </c>
      <c r="J248">
        <f>tbl_ReceiptLines[[#This Row],[Line_Total]]-tbl_ReceiptLines[[#This Row],[Discount_Info]]</f>
        <v>0.85</v>
      </c>
      <c r="L248" s="6">
        <f>tbl_ReceiptLines[[#This Row],[Line_Total]]-tbl_ReceiptLines[[#This Row],[Discount_Info]]</f>
        <v>0.85</v>
      </c>
    </row>
    <row r="249" spans="1:12" hidden="1" x14ac:dyDescent="0.3">
      <c r="A249" t="s">
        <v>35</v>
      </c>
      <c r="B249" s="11" t="s">
        <v>564</v>
      </c>
      <c r="C249">
        <v>32</v>
      </c>
      <c r="D249" t="s">
        <v>511</v>
      </c>
      <c r="E249">
        <v>1</v>
      </c>
      <c r="F249">
        <v>270</v>
      </c>
      <c r="G249" s="6">
        <v>2.39</v>
      </c>
      <c r="H249" s="6">
        <f>tbl_ReceiptLines[[#This Row],[Quantity]]*tbl_ReceiptLines[[#This Row],[Unit_Price]]</f>
        <v>2.39</v>
      </c>
      <c r="J249">
        <f>tbl_ReceiptLines[[#This Row],[Line_Total]]-tbl_ReceiptLines[[#This Row],[Discount_Info]]</f>
        <v>2.39</v>
      </c>
      <c r="L249" s="6">
        <f>tbl_ReceiptLines[[#This Row],[Line_Total]]-tbl_ReceiptLines[[#This Row],[Discount_Info]]</f>
        <v>2.39</v>
      </c>
    </row>
    <row r="250" spans="1:12" hidden="1" x14ac:dyDescent="0.3">
      <c r="A250" t="s">
        <v>35</v>
      </c>
      <c r="B250" s="11" t="s">
        <v>564</v>
      </c>
      <c r="C250">
        <v>33</v>
      </c>
      <c r="D250" t="s">
        <v>512</v>
      </c>
      <c r="E250">
        <v>1</v>
      </c>
      <c r="F250">
        <v>3</v>
      </c>
      <c r="G250" s="6">
        <v>1.99</v>
      </c>
      <c r="H250" s="6">
        <f>tbl_ReceiptLines[[#This Row],[Quantity]]*tbl_ReceiptLines[[#This Row],[Unit_Price]]</f>
        <v>1.99</v>
      </c>
      <c r="J250">
        <f>tbl_ReceiptLines[[#This Row],[Line_Total]]-tbl_ReceiptLines[[#This Row],[Discount_Info]]</f>
        <v>1.99</v>
      </c>
      <c r="L250" s="6">
        <f>tbl_ReceiptLines[[#This Row],[Line_Total]]-tbl_ReceiptLines[[#This Row],[Discount_Info]]</f>
        <v>1.99</v>
      </c>
    </row>
    <row r="251" spans="1:12" hidden="1" x14ac:dyDescent="0.3">
      <c r="A251" t="s">
        <v>35</v>
      </c>
      <c r="B251" s="11" t="s">
        <v>564</v>
      </c>
      <c r="C251">
        <v>34</v>
      </c>
      <c r="D251" t="s">
        <v>513</v>
      </c>
      <c r="E251">
        <v>3</v>
      </c>
      <c r="F251">
        <v>150</v>
      </c>
      <c r="G251" s="6">
        <v>1.49</v>
      </c>
      <c r="H251" s="6">
        <f>tbl_ReceiptLines[[#This Row],[Quantity]]*tbl_ReceiptLines[[#This Row],[Unit_Price]]</f>
        <v>4.47</v>
      </c>
      <c r="J251">
        <f>tbl_ReceiptLines[[#This Row],[Line_Total]]-tbl_ReceiptLines[[#This Row],[Discount_Info]]</f>
        <v>4.3499999999999996</v>
      </c>
      <c r="K251" s="6">
        <v>0.12</v>
      </c>
      <c r="L251" s="6">
        <f>tbl_ReceiptLines[[#This Row],[Line_Total]]-tbl_ReceiptLines[[#This Row],[Discount_Info]]</f>
        <v>4.3499999999999996</v>
      </c>
    </row>
    <row r="252" spans="1:12" hidden="1" x14ac:dyDescent="0.3">
      <c r="A252" t="s">
        <v>35</v>
      </c>
      <c r="B252" s="11" t="s">
        <v>564</v>
      </c>
      <c r="C252">
        <v>35</v>
      </c>
      <c r="D252" t="s">
        <v>306</v>
      </c>
      <c r="E252">
        <v>1</v>
      </c>
      <c r="F252">
        <v>125</v>
      </c>
      <c r="G252" s="6">
        <v>1.0900000000000001</v>
      </c>
      <c r="H252" s="6">
        <f>tbl_ReceiptLines[[#This Row],[Quantity]]*tbl_ReceiptLines[[#This Row],[Unit_Price]]</f>
        <v>1.0900000000000001</v>
      </c>
      <c r="J252">
        <f>tbl_ReceiptLines[[#This Row],[Line_Total]]-tbl_ReceiptLines[[#This Row],[Discount_Info]]</f>
        <v>1.0900000000000001</v>
      </c>
      <c r="L252" s="6">
        <f>tbl_ReceiptLines[[#This Row],[Line_Total]]-tbl_ReceiptLines[[#This Row],[Discount_Info]]</f>
        <v>1.0900000000000001</v>
      </c>
    </row>
    <row r="253" spans="1:12" hidden="1" x14ac:dyDescent="0.3">
      <c r="A253" t="s">
        <v>35</v>
      </c>
      <c r="B253" s="11" t="s">
        <v>564</v>
      </c>
      <c r="C253">
        <v>36</v>
      </c>
      <c r="D253" t="s">
        <v>514</v>
      </c>
      <c r="E253">
        <v>1</v>
      </c>
      <c r="F253">
        <v>100</v>
      </c>
      <c r="G253" s="6">
        <v>1.39</v>
      </c>
      <c r="H253" s="6">
        <f>tbl_ReceiptLines[[#This Row],[Quantity]]*tbl_ReceiptLines[[#This Row],[Unit_Price]]</f>
        <v>1.39</v>
      </c>
      <c r="J253">
        <f>tbl_ReceiptLines[[#This Row],[Line_Total]]-tbl_ReceiptLines[[#This Row],[Discount_Info]]</f>
        <v>1.39</v>
      </c>
      <c r="L253" s="6">
        <f>tbl_ReceiptLines[[#This Row],[Line_Total]]-tbl_ReceiptLines[[#This Row],[Discount_Info]]</f>
        <v>1.39</v>
      </c>
    </row>
    <row r="254" spans="1:12" hidden="1" x14ac:dyDescent="0.3">
      <c r="A254" t="s">
        <v>35</v>
      </c>
      <c r="B254" s="11" t="s">
        <v>564</v>
      </c>
      <c r="C254">
        <v>37</v>
      </c>
      <c r="D254" t="s">
        <v>314</v>
      </c>
      <c r="E254">
        <v>1</v>
      </c>
      <c r="F254">
        <v>7</v>
      </c>
      <c r="G254" s="6">
        <v>3.69</v>
      </c>
      <c r="H254" s="6">
        <f>tbl_ReceiptLines[[#This Row],[Quantity]]*tbl_ReceiptLines[[#This Row],[Unit_Price]]</f>
        <v>3.69</v>
      </c>
      <c r="J254">
        <f>tbl_ReceiptLines[[#This Row],[Line_Total]]-tbl_ReceiptLines[[#This Row],[Discount_Info]]</f>
        <v>3.69</v>
      </c>
      <c r="L254" s="6">
        <f>tbl_ReceiptLines[[#This Row],[Line_Total]]-tbl_ReceiptLines[[#This Row],[Discount_Info]]</f>
        <v>3.69</v>
      </c>
    </row>
    <row r="255" spans="1:12" hidden="1" x14ac:dyDescent="0.3">
      <c r="A255" t="s">
        <v>35</v>
      </c>
      <c r="B255" s="11" t="s">
        <v>564</v>
      </c>
      <c r="C255">
        <v>38</v>
      </c>
      <c r="D255" t="s">
        <v>470</v>
      </c>
      <c r="E255">
        <v>1</v>
      </c>
      <c r="F255">
        <v>4</v>
      </c>
      <c r="G255" s="6">
        <v>2.4900000000000002</v>
      </c>
      <c r="H255" s="6">
        <f>tbl_ReceiptLines[[#This Row],[Quantity]]*tbl_ReceiptLines[[#This Row],[Unit_Price]]</f>
        <v>2.4900000000000002</v>
      </c>
      <c r="J255">
        <f>tbl_ReceiptLines[[#This Row],[Line_Total]]-tbl_ReceiptLines[[#This Row],[Discount_Info]]</f>
        <v>2.4900000000000002</v>
      </c>
      <c r="L255" s="6">
        <f>tbl_ReceiptLines[[#This Row],[Line_Total]]-tbl_ReceiptLines[[#This Row],[Discount_Info]]</f>
        <v>2.4900000000000002</v>
      </c>
    </row>
    <row r="256" spans="1:12" hidden="1" x14ac:dyDescent="0.3">
      <c r="A256" t="s">
        <v>35</v>
      </c>
      <c r="B256" s="11" t="s">
        <v>564</v>
      </c>
      <c r="C256">
        <v>39</v>
      </c>
      <c r="D256" s="15" t="s">
        <v>515</v>
      </c>
      <c r="E256">
        <v>1</v>
      </c>
      <c r="F256">
        <v>115</v>
      </c>
      <c r="G256" s="6">
        <v>0</v>
      </c>
      <c r="H256" s="6">
        <f>tbl_ReceiptLines[[#This Row],[Quantity]]*tbl_ReceiptLines[[#This Row],[Unit_Price]]</f>
        <v>0</v>
      </c>
      <c r="J256">
        <f>tbl_ReceiptLines[[#This Row],[Line_Total]]-tbl_ReceiptLines[[#This Row],[Discount_Info]]</f>
        <v>0</v>
      </c>
      <c r="L256" s="6">
        <f>tbl_ReceiptLines[[#This Row],[Line_Total]]-tbl_ReceiptLines[[#This Row],[Discount_Info]]</f>
        <v>0</v>
      </c>
    </row>
    <row r="257" spans="1:12" hidden="1" x14ac:dyDescent="0.3">
      <c r="A257" t="s">
        <v>35</v>
      </c>
      <c r="B257" s="11" t="s">
        <v>564</v>
      </c>
      <c r="C257">
        <v>40</v>
      </c>
      <c r="D257" s="15" t="s">
        <v>516</v>
      </c>
      <c r="E257">
        <v>1</v>
      </c>
      <c r="F257">
        <v>135</v>
      </c>
      <c r="G257" s="6">
        <v>5.58</v>
      </c>
      <c r="H257" s="6">
        <f>tbl_ReceiptLines[[#This Row],[Quantity]]*tbl_ReceiptLines[[#This Row],[Unit_Price]]</f>
        <v>5.58</v>
      </c>
      <c r="J257">
        <f>tbl_ReceiptLines[[#This Row],[Line_Total]]-tbl_ReceiptLines[[#This Row],[Discount_Info]]</f>
        <v>5</v>
      </c>
      <c r="K257" s="6">
        <v>0.57999999999999996</v>
      </c>
      <c r="L257" s="6">
        <f>tbl_ReceiptLines[[#This Row],[Line_Total]]-tbl_ReceiptLines[[#This Row],[Discount_Info]]</f>
        <v>5</v>
      </c>
    </row>
    <row r="258" spans="1:12" hidden="1" x14ac:dyDescent="0.3">
      <c r="A258" t="s">
        <v>35</v>
      </c>
      <c r="B258" s="11" t="s">
        <v>564</v>
      </c>
      <c r="C258">
        <v>41</v>
      </c>
      <c r="D258" t="s">
        <v>517</v>
      </c>
      <c r="E258">
        <v>1</v>
      </c>
      <c r="F258">
        <v>200</v>
      </c>
      <c r="G258" s="6">
        <v>0</v>
      </c>
      <c r="H258" s="6">
        <f>tbl_ReceiptLines[[#This Row],[Quantity]]*tbl_ReceiptLines[[#This Row],[Unit_Price]]</f>
        <v>0</v>
      </c>
      <c r="J258">
        <f>tbl_ReceiptLines[[#This Row],[Line_Total]]-tbl_ReceiptLines[[#This Row],[Discount_Info]]</f>
        <v>0</v>
      </c>
      <c r="L258" s="6">
        <f>tbl_ReceiptLines[[#This Row],[Line_Total]]-tbl_ReceiptLines[[#This Row],[Discount_Info]]</f>
        <v>0</v>
      </c>
    </row>
    <row r="259" spans="1:12" hidden="1" x14ac:dyDescent="0.3">
      <c r="A259" t="s">
        <v>35</v>
      </c>
      <c r="B259" s="11" t="s">
        <v>564</v>
      </c>
      <c r="C259">
        <v>42</v>
      </c>
      <c r="D259" t="s">
        <v>518</v>
      </c>
      <c r="E259">
        <v>1</v>
      </c>
      <c r="F259">
        <v>187</v>
      </c>
      <c r="G259" s="6">
        <v>7.38</v>
      </c>
      <c r="H259" s="6">
        <f>tbl_ReceiptLines[[#This Row],[Quantity]]*tbl_ReceiptLines[[#This Row],[Unit_Price]]</f>
        <v>7.38</v>
      </c>
      <c r="J259">
        <f>tbl_ReceiptLines[[#This Row],[Line_Total]]-tbl_ReceiptLines[[#This Row],[Discount_Info]]</f>
        <v>5.49</v>
      </c>
      <c r="K259" s="6">
        <v>1.89</v>
      </c>
      <c r="L259" s="6">
        <f>tbl_ReceiptLines[[#This Row],[Line_Total]]-tbl_ReceiptLines[[#This Row],[Discount_Info]]</f>
        <v>5.49</v>
      </c>
    </row>
    <row r="260" spans="1:12" hidden="1" x14ac:dyDescent="0.3">
      <c r="A260" t="s">
        <v>35</v>
      </c>
      <c r="B260" s="11" t="s">
        <v>564</v>
      </c>
      <c r="C260">
        <v>43</v>
      </c>
      <c r="D260" t="s">
        <v>519</v>
      </c>
      <c r="E260">
        <v>1</v>
      </c>
      <c r="F260">
        <v>1.5</v>
      </c>
      <c r="G260" s="6">
        <v>1.99</v>
      </c>
      <c r="H260" s="6">
        <f>tbl_ReceiptLines[[#This Row],[Quantity]]*tbl_ReceiptLines[[#This Row],[Unit_Price]]</f>
        <v>1.99</v>
      </c>
      <c r="J260">
        <f>tbl_ReceiptLines[[#This Row],[Line_Total]]-tbl_ReceiptLines[[#This Row],[Discount_Info]]</f>
        <v>1.99</v>
      </c>
      <c r="L260" s="6">
        <f>tbl_ReceiptLines[[#This Row],[Line_Total]]-tbl_ReceiptLines[[#This Row],[Discount_Info]]</f>
        <v>1.99</v>
      </c>
    </row>
    <row r="261" spans="1:12" hidden="1" x14ac:dyDescent="0.3">
      <c r="A261" t="s">
        <v>35</v>
      </c>
      <c r="B261" s="11" t="s">
        <v>564</v>
      </c>
      <c r="C261">
        <v>44</v>
      </c>
      <c r="D261" t="s">
        <v>354</v>
      </c>
      <c r="E261">
        <v>4</v>
      </c>
      <c r="F261">
        <v>1.5</v>
      </c>
      <c r="G261" s="6">
        <v>0.85</v>
      </c>
      <c r="H261" s="6">
        <f>tbl_ReceiptLines[[#This Row],[Quantity]]*tbl_ReceiptLines[[#This Row],[Unit_Price]]</f>
        <v>3.4</v>
      </c>
      <c r="J261">
        <f>tbl_ReceiptLines[[#This Row],[Line_Total]]-tbl_ReceiptLines[[#This Row],[Discount_Info]]</f>
        <v>3.4</v>
      </c>
      <c r="L261" s="6">
        <f>tbl_ReceiptLines[[#This Row],[Line_Total]]-tbl_ReceiptLines[[#This Row],[Discount_Info]]</f>
        <v>3.4</v>
      </c>
    </row>
    <row r="262" spans="1:12" hidden="1" x14ac:dyDescent="0.3">
      <c r="A262" t="s">
        <v>35</v>
      </c>
      <c r="B262" s="11" t="s">
        <v>564</v>
      </c>
      <c r="C262">
        <v>45</v>
      </c>
      <c r="D262" t="s">
        <v>520</v>
      </c>
      <c r="E262">
        <v>1</v>
      </c>
      <c r="F262">
        <v>225</v>
      </c>
      <c r="G262" s="6">
        <v>2.99</v>
      </c>
      <c r="H262" s="6">
        <f>tbl_ReceiptLines[[#This Row],[Quantity]]*tbl_ReceiptLines[[#This Row],[Unit_Price]]</f>
        <v>2.99</v>
      </c>
      <c r="J262">
        <f>tbl_ReceiptLines[[#This Row],[Line_Total]]-tbl_ReceiptLines[[#This Row],[Discount_Info]]</f>
        <v>2.99</v>
      </c>
      <c r="L262" s="6">
        <f>tbl_ReceiptLines[[#This Row],[Line_Total]]-tbl_ReceiptLines[[#This Row],[Discount_Info]]</f>
        <v>2.99</v>
      </c>
    </row>
    <row r="263" spans="1:12" hidden="1" x14ac:dyDescent="0.3">
      <c r="A263" t="s">
        <v>35</v>
      </c>
      <c r="B263" s="11" t="s">
        <v>564</v>
      </c>
      <c r="C263">
        <v>46</v>
      </c>
      <c r="D263" t="s">
        <v>521</v>
      </c>
      <c r="E263">
        <v>1</v>
      </c>
      <c r="F263">
        <v>500</v>
      </c>
      <c r="G263" s="6">
        <v>3.99</v>
      </c>
      <c r="H263" s="6">
        <f>tbl_ReceiptLines[[#This Row],[Quantity]]*tbl_ReceiptLines[[#This Row],[Unit_Price]]</f>
        <v>3.99</v>
      </c>
      <c r="J263">
        <f>tbl_ReceiptLines[[#This Row],[Line_Total]]-tbl_ReceiptLines[[#This Row],[Discount_Info]]</f>
        <v>3.99</v>
      </c>
      <c r="L263" s="6">
        <f>tbl_ReceiptLines[[#This Row],[Line_Total]]-tbl_ReceiptLines[[#This Row],[Discount_Info]]</f>
        <v>3.99</v>
      </c>
    </row>
    <row r="264" spans="1:12" hidden="1" x14ac:dyDescent="0.3">
      <c r="A264" t="s">
        <v>35</v>
      </c>
      <c r="B264" s="11" t="s">
        <v>564</v>
      </c>
      <c r="C264">
        <v>47</v>
      </c>
      <c r="D264" t="s">
        <v>522</v>
      </c>
      <c r="E264">
        <v>1</v>
      </c>
      <c r="F264">
        <v>1</v>
      </c>
      <c r="G264" s="6">
        <v>1.99</v>
      </c>
      <c r="H264" s="6">
        <f>tbl_ReceiptLines[[#This Row],[Quantity]]*tbl_ReceiptLines[[#This Row],[Unit_Price]]</f>
        <v>1.99</v>
      </c>
      <c r="J264">
        <f>tbl_ReceiptLines[[#This Row],[Line_Total]]-tbl_ReceiptLines[[#This Row],[Discount_Info]]</f>
        <v>1.99</v>
      </c>
      <c r="L264" s="6">
        <f>tbl_ReceiptLines[[#This Row],[Line_Total]]-tbl_ReceiptLines[[#This Row],[Discount_Info]]</f>
        <v>1.99</v>
      </c>
    </row>
    <row r="265" spans="1:12" hidden="1" x14ac:dyDescent="0.3">
      <c r="A265" t="s">
        <v>42</v>
      </c>
      <c r="B265" s="11" t="s">
        <v>40</v>
      </c>
      <c r="C265">
        <v>1</v>
      </c>
      <c r="D265" t="s">
        <v>310</v>
      </c>
      <c r="E265">
        <v>2</v>
      </c>
      <c r="F265">
        <v>500</v>
      </c>
      <c r="G265" s="6">
        <v>1.29</v>
      </c>
      <c r="H265" s="6">
        <f>tbl_ReceiptLines[[#This Row],[Quantity]]*tbl_ReceiptLines[[#This Row],[Unit_Price]]</f>
        <v>2.58</v>
      </c>
      <c r="J265">
        <f>tbl_ReceiptLines[[#This Row],[Line_Total]]-tbl_ReceiptLines[[#This Row],[Discount_Info]]</f>
        <v>2.58</v>
      </c>
      <c r="L265" s="6">
        <f>tbl_ReceiptLines[[#This Row],[Line_Total]]-tbl_ReceiptLines[[#This Row],[Discount_Info]]</f>
        <v>2.58</v>
      </c>
    </row>
    <row r="266" spans="1:12" hidden="1" x14ac:dyDescent="0.3">
      <c r="A266" t="s">
        <v>42</v>
      </c>
      <c r="B266" s="11" t="s">
        <v>40</v>
      </c>
      <c r="C266">
        <v>2</v>
      </c>
      <c r="D266" t="s">
        <v>316</v>
      </c>
      <c r="E266">
        <v>1</v>
      </c>
      <c r="F266">
        <v>800</v>
      </c>
      <c r="G266" s="6">
        <v>2.39</v>
      </c>
      <c r="H266" s="6">
        <f>tbl_ReceiptLines[[#This Row],[Quantity]]*tbl_ReceiptLines[[#This Row],[Unit_Price]]</f>
        <v>2.39</v>
      </c>
      <c r="J266">
        <f>tbl_ReceiptLines[[#This Row],[Line_Total]]-tbl_ReceiptLines[[#This Row],[Discount_Info]]</f>
        <v>2.39</v>
      </c>
      <c r="L266" s="6">
        <f>tbl_ReceiptLines[[#This Row],[Line_Total]]-tbl_ReceiptLines[[#This Row],[Discount_Info]]</f>
        <v>2.39</v>
      </c>
    </row>
    <row r="267" spans="1:12" hidden="1" x14ac:dyDescent="0.3">
      <c r="A267" t="s">
        <v>42</v>
      </c>
      <c r="B267" s="11" t="s">
        <v>40</v>
      </c>
      <c r="C267">
        <v>3</v>
      </c>
      <c r="D267" t="s">
        <v>318</v>
      </c>
      <c r="E267">
        <v>1</v>
      </c>
      <c r="F267" t="s">
        <v>464</v>
      </c>
      <c r="G267" s="6">
        <v>9.7899999999999991</v>
      </c>
      <c r="H267" s="6">
        <f>tbl_ReceiptLines[[#This Row],[Quantity]]*tbl_ReceiptLines[[#This Row],[Unit_Price]]</f>
        <v>9.7899999999999991</v>
      </c>
      <c r="J267">
        <f>tbl_ReceiptLines[[#This Row],[Line_Total]]-tbl_ReceiptLines[[#This Row],[Discount_Info]]</f>
        <v>9.7899999999999991</v>
      </c>
      <c r="L267" s="6">
        <f>tbl_ReceiptLines[[#This Row],[Line_Total]]-tbl_ReceiptLines[[#This Row],[Discount_Info]]</f>
        <v>9.7899999999999991</v>
      </c>
    </row>
    <row r="268" spans="1:12" hidden="1" x14ac:dyDescent="0.3">
      <c r="A268" t="s">
        <v>42</v>
      </c>
      <c r="B268" s="11" t="s">
        <v>40</v>
      </c>
      <c r="C268">
        <v>4</v>
      </c>
      <c r="D268" t="s">
        <v>465</v>
      </c>
      <c r="E268">
        <v>1</v>
      </c>
      <c r="F268">
        <v>5</v>
      </c>
      <c r="G268" s="6">
        <v>1.45</v>
      </c>
      <c r="H268" s="6">
        <f>tbl_ReceiptLines[[#This Row],[Quantity]]*tbl_ReceiptLines[[#This Row],[Unit_Price]]</f>
        <v>1.45</v>
      </c>
      <c r="J268">
        <f>tbl_ReceiptLines[[#This Row],[Line_Total]]-tbl_ReceiptLines[[#This Row],[Discount_Info]]</f>
        <v>1.45</v>
      </c>
      <c r="L268" s="6">
        <f>tbl_ReceiptLines[[#This Row],[Line_Total]]-tbl_ReceiptLines[[#This Row],[Discount_Info]]</f>
        <v>1.45</v>
      </c>
    </row>
    <row r="269" spans="1:12" hidden="1" x14ac:dyDescent="0.3">
      <c r="A269" t="s">
        <v>42</v>
      </c>
      <c r="B269" s="11" t="s">
        <v>40</v>
      </c>
      <c r="C269">
        <v>5</v>
      </c>
      <c r="D269" t="s">
        <v>322</v>
      </c>
      <c r="E269">
        <v>1</v>
      </c>
      <c r="F269">
        <v>1</v>
      </c>
      <c r="G269" s="6">
        <v>2.4900000000000002</v>
      </c>
      <c r="H269" s="6">
        <f>tbl_ReceiptLines[[#This Row],[Quantity]]*tbl_ReceiptLines[[#This Row],[Unit_Price]]</f>
        <v>2.4900000000000002</v>
      </c>
      <c r="J269">
        <f>tbl_ReceiptLines[[#This Row],[Line_Total]]-tbl_ReceiptLines[[#This Row],[Discount_Info]]</f>
        <v>2.4900000000000002</v>
      </c>
      <c r="L269" s="6">
        <f>tbl_ReceiptLines[[#This Row],[Line_Total]]-tbl_ReceiptLines[[#This Row],[Discount_Info]]</f>
        <v>2.4900000000000002</v>
      </c>
    </row>
    <row r="270" spans="1:12" hidden="1" x14ac:dyDescent="0.3">
      <c r="A270" t="s">
        <v>42</v>
      </c>
      <c r="B270" s="11" t="s">
        <v>40</v>
      </c>
      <c r="C270">
        <v>6</v>
      </c>
      <c r="D270" t="s">
        <v>320</v>
      </c>
      <c r="E270">
        <v>1</v>
      </c>
      <c r="F270">
        <v>1</v>
      </c>
      <c r="G270" s="6">
        <v>2.4900000000000002</v>
      </c>
      <c r="H270" s="6">
        <f>tbl_ReceiptLines[[#This Row],[Quantity]]*tbl_ReceiptLines[[#This Row],[Unit_Price]]</f>
        <v>2.4900000000000002</v>
      </c>
      <c r="J270">
        <f>tbl_ReceiptLines[[#This Row],[Line_Total]]-tbl_ReceiptLines[[#This Row],[Discount_Info]]</f>
        <v>2.4900000000000002</v>
      </c>
      <c r="L270" s="6">
        <f>tbl_ReceiptLines[[#This Row],[Line_Total]]-tbl_ReceiptLines[[#This Row],[Discount_Info]]</f>
        <v>2.4900000000000002</v>
      </c>
    </row>
    <row r="271" spans="1:12" hidden="1" x14ac:dyDescent="0.3">
      <c r="A271" t="s">
        <v>42</v>
      </c>
      <c r="B271" s="11" t="s">
        <v>40</v>
      </c>
      <c r="C271">
        <v>7</v>
      </c>
      <c r="D271" t="s">
        <v>466</v>
      </c>
      <c r="E271">
        <v>1</v>
      </c>
      <c r="F271">
        <v>4</v>
      </c>
      <c r="G271" s="6">
        <v>2.79</v>
      </c>
      <c r="H271" s="6">
        <f>tbl_ReceiptLines[[#This Row],[Quantity]]*tbl_ReceiptLines[[#This Row],[Unit_Price]]</f>
        <v>2.79</v>
      </c>
      <c r="J271">
        <f>tbl_ReceiptLines[[#This Row],[Line_Total]]-tbl_ReceiptLines[[#This Row],[Discount_Info]]</f>
        <v>2.79</v>
      </c>
      <c r="L271" s="6">
        <f>tbl_ReceiptLines[[#This Row],[Line_Total]]-tbl_ReceiptLines[[#This Row],[Discount_Info]]</f>
        <v>2.79</v>
      </c>
    </row>
    <row r="272" spans="1:12" hidden="1" x14ac:dyDescent="0.3">
      <c r="A272" t="s">
        <v>42</v>
      </c>
      <c r="B272" s="11" t="s">
        <v>40</v>
      </c>
      <c r="C272">
        <v>8</v>
      </c>
      <c r="D272" t="s">
        <v>323</v>
      </c>
      <c r="E272">
        <v>1</v>
      </c>
      <c r="F272">
        <v>1000</v>
      </c>
      <c r="G272" s="6">
        <v>3.99</v>
      </c>
      <c r="H272" s="6">
        <f>tbl_ReceiptLines[[#This Row],[Quantity]]*tbl_ReceiptLines[[#This Row],[Unit_Price]]</f>
        <v>3.99</v>
      </c>
      <c r="J272">
        <f>tbl_ReceiptLines[[#This Row],[Line_Total]]-tbl_ReceiptLines[[#This Row],[Discount_Info]]</f>
        <v>3.99</v>
      </c>
      <c r="L272" s="6">
        <f>tbl_ReceiptLines[[#This Row],[Line_Total]]-tbl_ReceiptLines[[#This Row],[Discount_Info]]</f>
        <v>3.99</v>
      </c>
    </row>
    <row r="273" spans="1:12" hidden="1" x14ac:dyDescent="0.3">
      <c r="A273" t="s">
        <v>42</v>
      </c>
      <c r="B273" s="11" t="s">
        <v>40</v>
      </c>
      <c r="C273">
        <v>9</v>
      </c>
      <c r="D273" t="s">
        <v>347</v>
      </c>
      <c r="E273">
        <v>4</v>
      </c>
      <c r="F273">
        <v>200</v>
      </c>
      <c r="G273" s="6">
        <v>1.59</v>
      </c>
      <c r="H273" s="6">
        <f>tbl_ReceiptLines[[#This Row],[Quantity]]*tbl_ReceiptLines[[#This Row],[Unit_Price]]</f>
        <v>6.36</v>
      </c>
      <c r="J273">
        <f>tbl_ReceiptLines[[#This Row],[Line_Total]]-tbl_ReceiptLines[[#This Row],[Discount_Info]]</f>
        <v>6.36</v>
      </c>
      <c r="L273" s="6">
        <f>tbl_ReceiptLines[[#This Row],[Line_Total]]-tbl_ReceiptLines[[#This Row],[Discount_Info]]</f>
        <v>6.36</v>
      </c>
    </row>
    <row r="274" spans="1:12" hidden="1" x14ac:dyDescent="0.3">
      <c r="A274" t="s">
        <v>42</v>
      </c>
      <c r="B274" s="11" t="s">
        <v>40</v>
      </c>
      <c r="C274">
        <v>10</v>
      </c>
      <c r="D274" t="s">
        <v>523</v>
      </c>
      <c r="E274">
        <v>2</v>
      </c>
      <c r="F274">
        <v>3</v>
      </c>
      <c r="G274" s="6">
        <v>2.4900000000000002</v>
      </c>
      <c r="H274" s="6">
        <f>tbl_ReceiptLines[[#This Row],[Quantity]]*tbl_ReceiptLines[[#This Row],[Unit_Price]]</f>
        <v>4.9800000000000004</v>
      </c>
      <c r="J274">
        <f>tbl_ReceiptLines[[#This Row],[Line_Total]]-tbl_ReceiptLines[[#This Row],[Discount_Info]]</f>
        <v>4.9800000000000004</v>
      </c>
      <c r="L274" s="6">
        <f>tbl_ReceiptLines[[#This Row],[Line_Total]]-tbl_ReceiptLines[[#This Row],[Discount_Info]]</f>
        <v>4.9800000000000004</v>
      </c>
    </row>
    <row r="275" spans="1:12" hidden="1" x14ac:dyDescent="0.3">
      <c r="A275" t="s">
        <v>42</v>
      </c>
      <c r="B275" s="11" t="s">
        <v>40</v>
      </c>
      <c r="C275">
        <v>11</v>
      </c>
      <c r="D275" t="s">
        <v>318</v>
      </c>
      <c r="E275">
        <v>1</v>
      </c>
      <c r="F275" t="s">
        <v>524</v>
      </c>
      <c r="G275" s="6">
        <v>5.35</v>
      </c>
      <c r="H275" s="6">
        <f>tbl_ReceiptLines[[#This Row],[Quantity]]*tbl_ReceiptLines[[#This Row],[Unit_Price]]</f>
        <v>5.35</v>
      </c>
      <c r="J275">
        <f>tbl_ReceiptLines[[#This Row],[Line_Total]]-tbl_ReceiptLines[[#This Row],[Discount_Info]]</f>
        <v>4.9899999999999993</v>
      </c>
      <c r="K275" s="6">
        <v>0.36</v>
      </c>
      <c r="L275" s="6">
        <f>tbl_ReceiptLines[[#This Row],[Line_Total]]-tbl_ReceiptLines[[#This Row],[Discount_Info]]</f>
        <v>4.9899999999999993</v>
      </c>
    </row>
    <row r="276" spans="1:12" hidden="1" x14ac:dyDescent="0.3">
      <c r="A276" t="s">
        <v>42</v>
      </c>
      <c r="B276" s="11" t="s">
        <v>40</v>
      </c>
      <c r="C276">
        <v>12</v>
      </c>
      <c r="D276" t="s">
        <v>499</v>
      </c>
      <c r="E276">
        <v>1</v>
      </c>
      <c r="F276">
        <v>150</v>
      </c>
      <c r="G276" s="6">
        <v>2.79</v>
      </c>
      <c r="H276" s="6">
        <f>tbl_ReceiptLines[[#This Row],[Quantity]]*tbl_ReceiptLines[[#This Row],[Unit_Price]]</f>
        <v>2.79</v>
      </c>
      <c r="J276">
        <f>tbl_ReceiptLines[[#This Row],[Line_Total]]-tbl_ReceiptLines[[#This Row],[Discount_Info]]</f>
        <v>2.79</v>
      </c>
      <c r="L276" s="6">
        <f>tbl_ReceiptLines[[#This Row],[Line_Total]]-tbl_ReceiptLines[[#This Row],[Discount_Info]]</f>
        <v>2.79</v>
      </c>
    </row>
    <row r="277" spans="1:12" hidden="1" x14ac:dyDescent="0.3">
      <c r="A277" t="s">
        <v>42</v>
      </c>
      <c r="B277" s="11" t="s">
        <v>40</v>
      </c>
      <c r="C277">
        <v>13</v>
      </c>
      <c r="D277" t="s">
        <v>468</v>
      </c>
      <c r="E277">
        <v>1</v>
      </c>
      <c r="F277">
        <v>150</v>
      </c>
      <c r="G277" s="6">
        <v>3.59</v>
      </c>
      <c r="H277" s="6">
        <f>tbl_ReceiptLines[[#This Row],[Quantity]]*tbl_ReceiptLines[[#This Row],[Unit_Price]]</f>
        <v>3.59</v>
      </c>
      <c r="J277">
        <f>tbl_ReceiptLines[[#This Row],[Line_Total]]-tbl_ReceiptLines[[#This Row],[Discount_Info]]</f>
        <v>3.59</v>
      </c>
      <c r="L277" s="6">
        <f>tbl_ReceiptLines[[#This Row],[Line_Total]]-tbl_ReceiptLines[[#This Row],[Discount_Info]]</f>
        <v>3.59</v>
      </c>
    </row>
    <row r="278" spans="1:12" hidden="1" x14ac:dyDescent="0.3">
      <c r="A278" t="s">
        <v>42</v>
      </c>
      <c r="B278" s="11" t="s">
        <v>40</v>
      </c>
      <c r="C278">
        <v>14</v>
      </c>
      <c r="D278" t="s">
        <v>478</v>
      </c>
      <c r="E278">
        <v>1</v>
      </c>
      <c r="F278">
        <v>8</v>
      </c>
      <c r="G278" s="6">
        <v>2.65</v>
      </c>
      <c r="H278" s="6">
        <f>tbl_ReceiptLines[[#This Row],[Quantity]]*tbl_ReceiptLines[[#This Row],[Unit_Price]]</f>
        <v>2.65</v>
      </c>
      <c r="J278">
        <f>tbl_ReceiptLines[[#This Row],[Line_Total]]-tbl_ReceiptLines[[#This Row],[Discount_Info]]</f>
        <v>2.65</v>
      </c>
      <c r="L278" s="6">
        <f>tbl_ReceiptLines[[#This Row],[Line_Total]]-tbl_ReceiptLines[[#This Row],[Discount_Info]]</f>
        <v>2.65</v>
      </c>
    </row>
    <row r="279" spans="1:12" hidden="1" x14ac:dyDescent="0.3">
      <c r="A279" t="s">
        <v>42</v>
      </c>
      <c r="B279" s="11" t="s">
        <v>40</v>
      </c>
      <c r="C279">
        <v>15</v>
      </c>
      <c r="D279" s="15" t="s">
        <v>300</v>
      </c>
      <c r="E279">
        <v>1</v>
      </c>
      <c r="F279">
        <v>300</v>
      </c>
      <c r="G279" s="6">
        <v>4.99</v>
      </c>
      <c r="H279" s="6">
        <f>tbl_ReceiptLines[[#This Row],[Quantity]]*tbl_ReceiptLines[[#This Row],[Unit_Price]]</f>
        <v>4.99</v>
      </c>
      <c r="J279">
        <f>tbl_ReceiptLines[[#This Row],[Line_Total]]-tbl_ReceiptLines[[#This Row],[Discount_Info]]</f>
        <v>4.99</v>
      </c>
      <c r="L279" s="6">
        <f>tbl_ReceiptLines[[#This Row],[Line_Total]]-tbl_ReceiptLines[[#This Row],[Discount_Info]]</f>
        <v>4.99</v>
      </c>
    </row>
    <row r="280" spans="1:12" hidden="1" x14ac:dyDescent="0.3">
      <c r="A280" t="s">
        <v>42</v>
      </c>
      <c r="B280" s="11" t="s">
        <v>40</v>
      </c>
      <c r="C280">
        <v>16</v>
      </c>
      <c r="D280" t="s">
        <v>327</v>
      </c>
      <c r="E280">
        <v>1</v>
      </c>
      <c r="F280">
        <v>28</v>
      </c>
      <c r="G280" s="6">
        <v>0.99</v>
      </c>
      <c r="H280" s="6">
        <f>tbl_ReceiptLines[[#This Row],[Quantity]]*tbl_ReceiptLines[[#This Row],[Unit_Price]]</f>
        <v>0.99</v>
      </c>
      <c r="J280">
        <f>tbl_ReceiptLines[[#This Row],[Line_Total]]-tbl_ReceiptLines[[#This Row],[Discount_Info]]</f>
        <v>0.79</v>
      </c>
      <c r="K280" s="6">
        <v>0.2</v>
      </c>
      <c r="L280" s="6">
        <f>tbl_ReceiptLines[[#This Row],[Line_Total]]-tbl_ReceiptLines[[#This Row],[Discount_Info]]</f>
        <v>0.79</v>
      </c>
    </row>
    <row r="281" spans="1:12" hidden="1" x14ac:dyDescent="0.3">
      <c r="A281" t="s">
        <v>42</v>
      </c>
      <c r="B281" s="11" t="s">
        <v>40</v>
      </c>
      <c r="C281">
        <v>17</v>
      </c>
      <c r="D281" t="s">
        <v>329</v>
      </c>
      <c r="E281">
        <v>1</v>
      </c>
      <c r="F281" t="s">
        <v>525</v>
      </c>
      <c r="G281" s="6">
        <v>4.9000000000000004</v>
      </c>
      <c r="H281" s="6">
        <f>tbl_ReceiptLines[[#This Row],[Quantity]]*tbl_ReceiptLines[[#This Row],[Unit_Price]]</f>
        <v>4.9000000000000004</v>
      </c>
      <c r="J281">
        <f>tbl_ReceiptLines[[#This Row],[Line_Total]]-tbl_ReceiptLines[[#This Row],[Discount_Info]]</f>
        <v>4.9000000000000004</v>
      </c>
      <c r="L281" s="6">
        <f>tbl_ReceiptLines[[#This Row],[Line_Total]]-tbl_ReceiptLines[[#This Row],[Discount_Info]]</f>
        <v>4.9000000000000004</v>
      </c>
    </row>
    <row r="282" spans="1:12" hidden="1" x14ac:dyDescent="0.3">
      <c r="A282" t="s">
        <v>42</v>
      </c>
      <c r="B282" s="11" t="s">
        <v>40</v>
      </c>
      <c r="C282">
        <v>18</v>
      </c>
      <c r="D282" t="s">
        <v>526</v>
      </c>
      <c r="E282">
        <v>1</v>
      </c>
      <c r="F282" t="s">
        <v>525</v>
      </c>
      <c r="G282" s="6">
        <v>2.34</v>
      </c>
      <c r="H282" s="6">
        <f>tbl_ReceiptLines[[#This Row],[Quantity]]*tbl_ReceiptLines[[#This Row],[Unit_Price]]</f>
        <v>2.34</v>
      </c>
      <c r="J282">
        <f>tbl_ReceiptLines[[#This Row],[Line_Total]]-tbl_ReceiptLines[[#This Row],[Discount_Info]]</f>
        <v>2.34</v>
      </c>
      <c r="L282" s="6">
        <f>tbl_ReceiptLines[[#This Row],[Line_Total]]-tbl_ReceiptLines[[#This Row],[Discount_Info]]</f>
        <v>2.34</v>
      </c>
    </row>
    <row r="283" spans="1:12" hidden="1" x14ac:dyDescent="0.3">
      <c r="A283" t="s">
        <v>42</v>
      </c>
      <c r="B283" s="11" t="s">
        <v>40</v>
      </c>
      <c r="C283">
        <v>19</v>
      </c>
      <c r="D283" t="s">
        <v>481</v>
      </c>
      <c r="E283">
        <v>1</v>
      </c>
      <c r="F283">
        <v>125</v>
      </c>
      <c r="G283" s="6">
        <v>1.19</v>
      </c>
      <c r="H283" s="6">
        <f>tbl_ReceiptLines[[#This Row],[Quantity]]*tbl_ReceiptLines[[#This Row],[Unit_Price]]</f>
        <v>1.19</v>
      </c>
      <c r="J283">
        <f>tbl_ReceiptLines[[#This Row],[Line_Total]]-tbl_ReceiptLines[[#This Row],[Discount_Info]]</f>
        <v>1.19</v>
      </c>
      <c r="L283" s="6">
        <f>tbl_ReceiptLines[[#This Row],[Line_Total]]-tbl_ReceiptLines[[#This Row],[Discount_Info]]</f>
        <v>1.19</v>
      </c>
    </row>
    <row r="284" spans="1:12" hidden="1" x14ac:dyDescent="0.3">
      <c r="A284" t="s">
        <v>42</v>
      </c>
      <c r="B284" s="11" t="s">
        <v>40</v>
      </c>
      <c r="C284">
        <v>20</v>
      </c>
      <c r="D284" t="s">
        <v>483</v>
      </c>
      <c r="E284">
        <v>1</v>
      </c>
      <c r="F284">
        <v>150</v>
      </c>
      <c r="G284" s="6">
        <v>2.79</v>
      </c>
      <c r="H284" s="6">
        <f>tbl_ReceiptLines[[#This Row],[Quantity]]*tbl_ReceiptLines[[#This Row],[Unit_Price]]</f>
        <v>2.79</v>
      </c>
      <c r="J284">
        <f>tbl_ReceiptLines[[#This Row],[Line_Total]]-tbl_ReceiptLines[[#This Row],[Discount_Info]]</f>
        <v>2.79</v>
      </c>
      <c r="L284" s="6">
        <f>tbl_ReceiptLines[[#This Row],[Line_Total]]-tbl_ReceiptLines[[#This Row],[Discount_Info]]</f>
        <v>2.79</v>
      </c>
    </row>
    <row r="285" spans="1:12" hidden="1" x14ac:dyDescent="0.3">
      <c r="A285" t="s">
        <v>42</v>
      </c>
      <c r="B285" s="11" t="s">
        <v>40</v>
      </c>
      <c r="C285">
        <v>21</v>
      </c>
      <c r="D285" t="s">
        <v>527</v>
      </c>
      <c r="E285">
        <v>1</v>
      </c>
      <c r="F285">
        <v>2</v>
      </c>
      <c r="G285" s="6">
        <v>3.19</v>
      </c>
      <c r="H285" s="6">
        <f>tbl_ReceiptLines[[#This Row],[Quantity]]*tbl_ReceiptLines[[#This Row],[Unit_Price]]</f>
        <v>3.19</v>
      </c>
      <c r="J285">
        <f>tbl_ReceiptLines[[#This Row],[Line_Total]]-tbl_ReceiptLines[[#This Row],[Discount_Info]]</f>
        <v>2.9899999999999998</v>
      </c>
      <c r="K285" s="6">
        <v>0.2</v>
      </c>
      <c r="L285" s="6">
        <f>tbl_ReceiptLines[[#This Row],[Line_Total]]-tbl_ReceiptLines[[#This Row],[Discount_Info]]</f>
        <v>2.9899999999999998</v>
      </c>
    </row>
    <row r="286" spans="1:12" hidden="1" x14ac:dyDescent="0.3">
      <c r="A286" t="s">
        <v>42</v>
      </c>
      <c r="B286" s="11" t="s">
        <v>40</v>
      </c>
      <c r="C286">
        <v>22</v>
      </c>
      <c r="D286" t="s">
        <v>528</v>
      </c>
      <c r="E286">
        <v>1</v>
      </c>
      <c r="F286" t="s">
        <v>529</v>
      </c>
      <c r="G286" s="6">
        <v>5.9</v>
      </c>
      <c r="H286" s="6">
        <f>tbl_ReceiptLines[[#This Row],[Quantity]]*tbl_ReceiptLines[[#This Row],[Unit_Price]]</f>
        <v>5.9</v>
      </c>
      <c r="J286">
        <f>tbl_ReceiptLines[[#This Row],[Line_Total]]-tbl_ReceiptLines[[#This Row],[Discount_Info]]</f>
        <v>5.9</v>
      </c>
      <c r="L286" s="6">
        <f>tbl_ReceiptLines[[#This Row],[Line_Total]]-tbl_ReceiptLines[[#This Row],[Discount_Info]]</f>
        <v>5.9</v>
      </c>
    </row>
    <row r="287" spans="1:12" hidden="1" x14ac:dyDescent="0.3">
      <c r="A287" t="s">
        <v>42</v>
      </c>
      <c r="B287" s="11" t="s">
        <v>40</v>
      </c>
      <c r="C287">
        <v>23</v>
      </c>
      <c r="D287" s="15" t="s">
        <v>530</v>
      </c>
      <c r="E287">
        <v>1</v>
      </c>
      <c r="F287">
        <v>12</v>
      </c>
      <c r="G287" s="6">
        <v>4.8899999999999997</v>
      </c>
      <c r="H287" s="6">
        <f>tbl_ReceiptLines[[#This Row],[Quantity]]*tbl_ReceiptLines[[#This Row],[Unit_Price]]</f>
        <v>4.8899999999999997</v>
      </c>
      <c r="J287">
        <f>tbl_ReceiptLines[[#This Row],[Line_Total]]-tbl_ReceiptLines[[#This Row],[Discount_Info]]</f>
        <v>4.8899999999999997</v>
      </c>
      <c r="L287" s="6">
        <f>tbl_ReceiptLines[[#This Row],[Line_Total]]-tbl_ReceiptLines[[#This Row],[Discount_Info]]</f>
        <v>4.8899999999999997</v>
      </c>
    </row>
    <row r="288" spans="1:12" hidden="1" x14ac:dyDescent="0.3">
      <c r="A288" t="s">
        <v>42</v>
      </c>
      <c r="B288" s="11" t="s">
        <v>40</v>
      </c>
      <c r="C288">
        <v>24</v>
      </c>
      <c r="D288" t="s">
        <v>531</v>
      </c>
      <c r="E288">
        <v>1</v>
      </c>
      <c r="F288">
        <v>175</v>
      </c>
      <c r="G288" s="6">
        <v>2.5499999999999998</v>
      </c>
      <c r="H288" s="6">
        <f>tbl_ReceiptLines[[#This Row],[Quantity]]*tbl_ReceiptLines[[#This Row],[Unit_Price]]</f>
        <v>2.5499999999999998</v>
      </c>
      <c r="J288">
        <f>tbl_ReceiptLines[[#This Row],[Line_Total]]-tbl_ReceiptLines[[#This Row],[Discount_Info]]</f>
        <v>2.5499999999999998</v>
      </c>
      <c r="L288" s="6">
        <f>tbl_ReceiptLines[[#This Row],[Line_Total]]-tbl_ReceiptLines[[#This Row],[Discount_Info]]</f>
        <v>2.5499999999999998</v>
      </c>
    </row>
    <row r="289" spans="1:12" hidden="1" x14ac:dyDescent="0.3">
      <c r="A289" t="s">
        <v>42</v>
      </c>
      <c r="B289" s="11" t="s">
        <v>40</v>
      </c>
      <c r="C289">
        <v>25</v>
      </c>
      <c r="D289" t="s">
        <v>532</v>
      </c>
      <c r="E289">
        <v>2</v>
      </c>
      <c r="F289">
        <v>400</v>
      </c>
      <c r="G289" s="6">
        <v>2.99</v>
      </c>
      <c r="H289" s="6">
        <f>tbl_ReceiptLines[[#This Row],[Quantity]]*tbl_ReceiptLines[[#This Row],[Unit_Price]]</f>
        <v>5.98</v>
      </c>
      <c r="J289">
        <f>tbl_ReceiptLines[[#This Row],[Line_Total]]-tbl_ReceiptLines[[#This Row],[Discount_Info]]</f>
        <v>5.3800000000000008</v>
      </c>
      <c r="K289" s="6">
        <v>0.6</v>
      </c>
      <c r="L289" s="6">
        <f>tbl_ReceiptLines[[#This Row],[Line_Total]]-tbl_ReceiptLines[[#This Row],[Discount_Info]]</f>
        <v>5.3800000000000008</v>
      </c>
    </row>
    <row r="290" spans="1:12" hidden="1" x14ac:dyDescent="0.3">
      <c r="A290" t="s">
        <v>42</v>
      </c>
      <c r="B290" s="11" t="s">
        <v>40</v>
      </c>
      <c r="C290">
        <v>26</v>
      </c>
      <c r="D290" t="s">
        <v>533</v>
      </c>
      <c r="E290">
        <v>1</v>
      </c>
      <c r="F290">
        <v>15</v>
      </c>
      <c r="G290" s="6">
        <v>1.29</v>
      </c>
      <c r="H290" s="6">
        <f>tbl_ReceiptLines[[#This Row],[Quantity]]*tbl_ReceiptLines[[#This Row],[Unit_Price]]</f>
        <v>1.29</v>
      </c>
      <c r="J290">
        <f>tbl_ReceiptLines[[#This Row],[Line_Total]]-tbl_ReceiptLines[[#This Row],[Discount_Info]]</f>
        <v>1.1600000000000001</v>
      </c>
      <c r="K290" s="6">
        <v>0.13</v>
      </c>
      <c r="L290" s="6">
        <f>tbl_ReceiptLines[[#This Row],[Line_Total]]-tbl_ReceiptLines[[#This Row],[Discount_Info]]</f>
        <v>1.1600000000000001</v>
      </c>
    </row>
    <row r="291" spans="1:12" hidden="1" x14ac:dyDescent="0.3">
      <c r="A291" t="s">
        <v>42</v>
      </c>
      <c r="B291" s="11" t="s">
        <v>40</v>
      </c>
      <c r="C291">
        <v>27</v>
      </c>
      <c r="D291" t="s">
        <v>74</v>
      </c>
      <c r="E291">
        <v>1</v>
      </c>
      <c r="F291">
        <v>400</v>
      </c>
      <c r="G291" s="6">
        <v>2.79</v>
      </c>
      <c r="H291" s="6">
        <f>tbl_ReceiptLines[[#This Row],[Quantity]]*tbl_ReceiptLines[[#This Row],[Unit_Price]]</f>
        <v>2.79</v>
      </c>
      <c r="J291">
        <f>tbl_ReceiptLines[[#This Row],[Line_Total]]-tbl_ReceiptLines[[#This Row],[Discount_Info]]</f>
        <v>2.79</v>
      </c>
      <c r="L291" s="6">
        <f>tbl_ReceiptLines[[#This Row],[Line_Total]]-tbl_ReceiptLines[[#This Row],[Discount_Info]]</f>
        <v>2.79</v>
      </c>
    </row>
    <row r="292" spans="1:12" hidden="1" x14ac:dyDescent="0.3">
      <c r="A292" t="s">
        <v>42</v>
      </c>
      <c r="B292" s="11" t="s">
        <v>40</v>
      </c>
      <c r="C292">
        <v>28</v>
      </c>
      <c r="D292" t="s">
        <v>534</v>
      </c>
      <c r="E292">
        <v>1</v>
      </c>
      <c r="F292">
        <v>150</v>
      </c>
      <c r="G292" s="6">
        <v>1.19</v>
      </c>
      <c r="H292" s="6">
        <f>tbl_ReceiptLines[[#This Row],[Quantity]]*tbl_ReceiptLines[[#This Row],[Unit_Price]]</f>
        <v>1.19</v>
      </c>
      <c r="J292">
        <f>tbl_ReceiptLines[[#This Row],[Line_Total]]-tbl_ReceiptLines[[#This Row],[Discount_Info]]</f>
        <v>1.19</v>
      </c>
      <c r="L292" s="6">
        <f>tbl_ReceiptLines[[#This Row],[Line_Total]]-tbl_ReceiptLines[[#This Row],[Discount_Info]]</f>
        <v>1.19</v>
      </c>
    </row>
    <row r="293" spans="1:12" hidden="1" x14ac:dyDescent="0.3">
      <c r="A293" t="s">
        <v>42</v>
      </c>
      <c r="B293" s="11" t="s">
        <v>40</v>
      </c>
      <c r="C293">
        <v>29</v>
      </c>
      <c r="D293" t="s">
        <v>535</v>
      </c>
      <c r="E293">
        <v>1</v>
      </c>
      <c r="F293">
        <v>600</v>
      </c>
      <c r="G293" s="6">
        <v>8.99</v>
      </c>
      <c r="H293" s="6">
        <f>tbl_ReceiptLines[[#This Row],[Quantity]]*tbl_ReceiptLines[[#This Row],[Unit_Price]]</f>
        <v>8.99</v>
      </c>
      <c r="J293">
        <f>tbl_ReceiptLines[[#This Row],[Line_Total]]-tbl_ReceiptLines[[#This Row],[Discount_Info]]</f>
        <v>8.99</v>
      </c>
      <c r="L293" s="6">
        <f>tbl_ReceiptLines[[#This Row],[Line_Total]]-tbl_ReceiptLines[[#This Row],[Discount_Info]]</f>
        <v>8.99</v>
      </c>
    </row>
    <row r="294" spans="1:12" hidden="1" x14ac:dyDescent="0.3">
      <c r="A294" t="s">
        <v>42</v>
      </c>
      <c r="B294" s="11" t="s">
        <v>40</v>
      </c>
      <c r="C294">
        <v>30</v>
      </c>
      <c r="D294" t="s">
        <v>304</v>
      </c>
      <c r="E294">
        <v>1</v>
      </c>
      <c r="F294">
        <v>1</v>
      </c>
      <c r="G294" s="6">
        <v>0.99</v>
      </c>
      <c r="H294" s="6">
        <f>tbl_ReceiptLines[[#This Row],[Quantity]]*tbl_ReceiptLines[[#This Row],[Unit_Price]]</f>
        <v>0.99</v>
      </c>
      <c r="J294">
        <f>tbl_ReceiptLines[[#This Row],[Line_Total]]-tbl_ReceiptLines[[#This Row],[Discount_Info]]</f>
        <v>0.99</v>
      </c>
      <c r="L294" s="6">
        <f>tbl_ReceiptLines[[#This Row],[Line_Total]]-tbl_ReceiptLines[[#This Row],[Discount_Info]]</f>
        <v>0.99</v>
      </c>
    </row>
    <row r="295" spans="1:12" hidden="1" x14ac:dyDescent="0.3">
      <c r="A295" t="s">
        <v>42</v>
      </c>
      <c r="B295" s="11" t="s">
        <v>40</v>
      </c>
      <c r="C295">
        <v>31</v>
      </c>
      <c r="D295" t="s">
        <v>258</v>
      </c>
      <c r="E295">
        <v>1</v>
      </c>
      <c r="F295">
        <v>1</v>
      </c>
      <c r="G295" s="6">
        <v>0.85</v>
      </c>
      <c r="H295" s="6">
        <f>tbl_ReceiptLines[[#This Row],[Quantity]]*tbl_ReceiptLines[[#This Row],[Unit_Price]]</f>
        <v>0.85</v>
      </c>
      <c r="J295">
        <f>tbl_ReceiptLines[[#This Row],[Line_Total]]-tbl_ReceiptLines[[#This Row],[Discount_Info]]</f>
        <v>0.85</v>
      </c>
      <c r="L295" s="6">
        <f>tbl_ReceiptLines[[#This Row],[Line_Total]]-tbl_ReceiptLines[[#This Row],[Discount_Info]]</f>
        <v>0.85</v>
      </c>
    </row>
    <row r="296" spans="1:12" hidden="1" x14ac:dyDescent="0.3">
      <c r="A296" t="s">
        <v>42</v>
      </c>
      <c r="B296" s="11" t="s">
        <v>40</v>
      </c>
      <c r="C296">
        <v>32</v>
      </c>
      <c r="D296" t="s">
        <v>536</v>
      </c>
      <c r="E296">
        <v>1</v>
      </c>
      <c r="F296">
        <v>300</v>
      </c>
      <c r="G296" s="6">
        <v>3.19</v>
      </c>
      <c r="H296" s="6">
        <f>tbl_ReceiptLines[[#This Row],[Quantity]]*tbl_ReceiptLines[[#This Row],[Unit_Price]]</f>
        <v>3.19</v>
      </c>
      <c r="J296">
        <f>tbl_ReceiptLines[[#This Row],[Line_Total]]-tbl_ReceiptLines[[#This Row],[Discount_Info]]</f>
        <v>3.19</v>
      </c>
      <c r="L296" s="6">
        <f>tbl_ReceiptLines[[#This Row],[Line_Total]]-tbl_ReceiptLines[[#This Row],[Discount_Info]]</f>
        <v>3.19</v>
      </c>
    </row>
    <row r="297" spans="1:12" hidden="1" x14ac:dyDescent="0.3">
      <c r="A297" t="s">
        <v>42</v>
      </c>
      <c r="B297" s="11" t="s">
        <v>40</v>
      </c>
      <c r="C297">
        <v>33</v>
      </c>
      <c r="D297" t="s">
        <v>537</v>
      </c>
      <c r="E297">
        <v>1</v>
      </c>
      <c r="F297">
        <v>100</v>
      </c>
      <c r="G297" s="6">
        <v>2.25</v>
      </c>
      <c r="H297" s="6">
        <f>tbl_ReceiptLines[[#This Row],[Quantity]]*tbl_ReceiptLines[[#This Row],[Unit_Price]]</f>
        <v>2.25</v>
      </c>
      <c r="J297">
        <f>tbl_ReceiptLines[[#This Row],[Line_Total]]-tbl_ReceiptLines[[#This Row],[Discount_Info]]</f>
        <v>2.25</v>
      </c>
      <c r="L297" s="6">
        <f>tbl_ReceiptLines[[#This Row],[Line_Total]]-tbl_ReceiptLines[[#This Row],[Discount_Info]]</f>
        <v>2.25</v>
      </c>
    </row>
    <row r="298" spans="1:12" hidden="1" x14ac:dyDescent="0.3">
      <c r="A298" t="s">
        <v>42</v>
      </c>
      <c r="B298" s="11" t="s">
        <v>40</v>
      </c>
      <c r="C298">
        <v>34</v>
      </c>
      <c r="D298" t="s">
        <v>538</v>
      </c>
      <c r="E298">
        <v>1</v>
      </c>
      <c r="F298">
        <v>250</v>
      </c>
      <c r="G298" s="6">
        <v>3.99</v>
      </c>
      <c r="H298" s="6">
        <f>tbl_ReceiptLines[[#This Row],[Quantity]]*tbl_ReceiptLines[[#This Row],[Unit_Price]]</f>
        <v>3.99</v>
      </c>
      <c r="J298">
        <f>tbl_ReceiptLines[[#This Row],[Line_Total]]-tbl_ReceiptLines[[#This Row],[Discount_Info]]</f>
        <v>3.99</v>
      </c>
      <c r="L298" s="6">
        <f>tbl_ReceiptLines[[#This Row],[Line_Total]]-tbl_ReceiptLines[[#This Row],[Discount_Info]]</f>
        <v>3.99</v>
      </c>
    </row>
    <row r="299" spans="1:12" hidden="1" x14ac:dyDescent="0.3">
      <c r="A299" t="s">
        <v>42</v>
      </c>
      <c r="B299" s="11" t="s">
        <v>40</v>
      </c>
      <c r="C299">
        <v>35</v>
      </c>
      <c r="D299" t="s">
        <v>539</v>
      </c>
      <c r="E299">
        <v>1</v>
      </c>
      <c r="F299">
        <v>150</v>
      </c>
      <c r="G299" s="6">
        <v>3.29</v>
      </c>
      <c r="H299" s="6">
        <f>tbl_ReceiptLines[[#This Row],[Quantity]]*tbl_ReceiptLines[[#This Row],[Unit_Price]]</f>
        <v>3.29</v>
      </c>
      <c r="J299">
        <f>tbl_ReceiptLines[[#This Row],[Line_Total]]-tbl_ReceiptLines[[#This Row],[Discount_Info]]</f>
        <v>3.29</v>
      </c>
      <c r="L299" s="6">
        <f>tbl_ReceiptLines[[#This Row],[Line_Total]]-tbl_ReceiptLines[[#This Row],[Discount_Info]]</f>
        <v>3.29</v>
      </c>
    </row>
    <row r="300" spans="1:12" hidden="1" x14ac:dyDescent="0.3">
      <c r="A300" t="s">
        <v>42</v>
      </c>
      <c r="B300" s="11" t="s">
        <v>40</v>
      </c>
      <c r="C300">
        <v>36</v>
      </c>
      <c r="D300" t="s">
        <v>540</v>
      </c>
      <c r="E300">
        <v>1</v>
      </c>
      <c r="F300">
        <v>4</v>
      </c>
      <c r="G300" s="6">
        <v>5.99</v>
      </c>
      <c r="H300" s="6">
        <f>tbl_ReceiptLines[[#This Row],[Quantity]]*tbl_ReceiptLines[[#This Row],[Unit_Price]]</f>
        <v>5.99</v>
      </c>
      <c r="J300">
        <f>tbl_ReceiptLines[[#This Row],[Line_Total]]-tbl_ReceiptLines[[#This Row],[Discount_Info]]</f>
        <v>5.99</v>
      </c>
      <c r="L300" s="6">
        <f>tbl_ReceiptLines[[#This Row],[Line_Total]]-tbl_ReceiptLines[[#This Row],[Discount_Info]]</f>
        <v>5.99</v>
      </c>
    </row>
    <row r="301" spans="1:12" hidden="1" x14ac:dyDescent="0.3">
      <c r="A301" t="s">
        <v>42</v>
      </c>
      <c r="B301" s="11" t="s">
        <v>40</v>
      </c>
      <c r="C301">
        <v>37</v>
      </c>
      <c r="D301" s="15" t="s">
        <v>541</v>
      </c>
      <c r="E301">
        <v>2</v>
      </c>
      <c r="F301">
        <v>170</v>
      </c>
      <c r="G301" s="6">
        <v>3.95</v>
      </c>
      <c r="H301" s="6">
        <f>tbl_ReceiptLines[[#This Row],[Quantity]]*tbl_ReceiptLines[[#This Row],[Unit_Price]]</f>
        <v>7.9</v>
      </c>
      <c r="J301">
        <f>tbl_ReceiptLines[[#This Row],[Line_Total]]-tbl_ReceiptLines[[#This Row],[Discount_Info]]</f>
        <v>7.9</v>
      </c>
      <c r="L301" s="6">
        <f>tbl_ReceiptLines[[#This Row],[Line_Total]]-tbl_ReceiptLines[[#This Row],[Discount_Info]]</f>
        <v>7.9</v>
      </c>
    </row>
    <row r="302" spans="1:12" hidden="1" x14ac:dyDescent="0.3">
      <c r="A302" t="s">
        <v>42</v>
      </c>
      <c r="B302" s="11" t="s">
        <v>40</v>
      </c>
      <c r="C302">
        <v>38</v>
      </c>
      <c r="D302" t="s">
        <v>542</v>
      </c>
      <c r="E302">
        <v>1</v>
      </c>
      <c r="F302">
        <v>250</v>
      </c>
      <c r="G302" s="6">
        <v>2.69</v>
      </c>
      <c r="H302" s="6">
        <f>tbl_ReceiptLines[[#This Row],[Quantity]]*tbl_ReceiptLines[[#This Row],[Unit_Price]]</f>
        <v>2.69</v>
      </c>
      <c r="J302">
        <f>tbl_ReceiptLines[[#This Row],[Line_Total]]-tbl_ReceiptLines[[#This Row],[Discount_Info]]</f>
        <v>2.69</v>
      </c>
      <c r="L302" s="6">
        <f>tbl_ReceiptLines[[#This Row],[Line_Total]]-tbl_ReceiptLines[[#This Row],[Discount_Info]]</f>
        <v>2.69</v>
      </c>
    </row>
    <row r="303" spans="1:12" hidden="1" x14ac:dyDescent="0.3">
      <c r="A303" t="s">
        <v>42</v>
      </c>
      <c r="B303" s="11" t="s">
        <v>40</v>
      </c>
      <c r="C303">
        <v>39</v>
      </c>
      <c r="D303" t="s">
        <v>543</v>
      </c>
      <c r="E303">
        <v>1</v>
      </c>
      <c r="F303">
        <v>500</v>
      </c>
      <c r="G303" s="6">
        <v>1.95</v>
      </c>
      <c r="H303" s="6">
        <f>tbl_ReceiptLines[[#This Row],[Quantity]]*tbl_ReceiptLines[[#This Row],[Unit_Price]]</f>
        <v>1.95</v>
      </c>
      <c r="J303">
        <f>tbl_ReceiptLines[[#This Row],[Line_Total]]-tbl_ReceiptLines[[#This Row],[Discount_Info]]</f>
        <v>1.56</v>
      </c>
      <c r="K303" s="6">
        <v>0.39</v>
      </c>
      <c r="L303" s="6">
        <f>tbl_ReceiptLines[[#This Row],[Line_Total]]-tbl_ReceiptLines[[#This Row],[Discount_Info]]</f>
        <v>1.56</v>
      </c>
    </row>
    <row r="304" spans="1:12" hidden="1" x14ac:dyDescent="0.3">
      <c r="A304" t="s">
        <v>42</v>
      </c>
      <c r="B304" s="11" t="s">
        <v>40</v>
      </c>
      <c r="C304">
        <v>40</v>
      </c>
      <c r="D304" t="s">
        <v>544</v>
      </c>
      <c r="E304">
        <v>1</v>
      </c>
      <c r="F304">
        <v>10</v>
      </c>
      <c r="G304" s="6">
        <v>1.99</v>
      </c>
      <c r="H304" s="6">
        <f>tbl_ReceiptLines[[#This Row],[Quantity]]*tbl_ReceiptLines[[#This Row],[Unit_Price]]</f>
        <v>1.99</v>
      </c>
      <c r="J304">
        <f>tbl_ReceiptLines[[#This Row],[Line_Total]]-tbl_ReceiptLines[[#This Row],[Discount_Info]]</f>
        <v>1.79</v>
      </c>
      <c r="K304" s="6">
        <v>0.2</v>
      </c>
      <c r="L304" s="6">
        <f>tbl_ReceiptLines[[#This Row],[Line_Total]]-tbl_ReceiptLines[[#This Row],[Discount_Info]]</f>
        <v>1.79</v>
      </c>
    </row>
    <row r="305" spans="1:12" hidden="1" x14ac:dyDescent="0.3">
      <c r="A305" t="s">
        <v>42</v>
      </c>
      <c r="B305" s="11" t="s">
        <v>40</v>
      </c>
      <c r="C305">
        <v>41</v>
      </c>
      <c r="D305" t="s">
        <v>312</v>
      </c>
      <c r="E305">
        <v>1</v>
      </c>
      <c r="F305">
        <v>2</v>
      </c>
      <c r="G305" s="6">
        <v>1.69</v>
      </c>
      <c r="H305" s="6">
        <f>tbl_ReceiptLines[[#This Row],[Quantity]]*tbl_ReceiptLines[[#This Row],[Unit_Price]]</f>
        <v>1.69</v>
      </c>
      <c r="J305">
        <f>tbl_ReceiptLines[[#This Row],[Line_Total]]-tbl_ReceiptLines[[#This Row],[Discount_Info]]</f>
        <v>1.69</v>
      </c>
      <c r="L305" s="6">
        <f>tbl_ReceiptLines[[#This Row],[Line_Total]]-tbl_ReceiptLines[[#This Row],[Discount_Info]]</f>
        <v>1.69</v>
      </c>
    </row>
    <row r="306" spans="1:12" hidden="1" x14ac:dyDescent="0.3">
      <c r="A306" t="s">
        <v>42</v>
      </c>
      <c r="B306" s="11" t="s">
        <v>40</v>
      </c>
      <c r="C306">
        <v>42</v>
      </c>
      <c r="D306" t="s">
        <v>471</v>
      </c>
      <c r="E306">
        <v>1</v>
      </c>
      <c r="F306">
        <v>1</v>
      </c>
      <c r="G306" s="6">
        <v>1.49</v>
      </c>
      <c r="H306" s="6">
        <f>tbl_ReceiptLines[[#This Row],[Quantity]]*tbl_ReceiptLines[[#This Row],[Unit_Price]]</f>
        <v>1.49</v>
      </c>
      <c r="J306">
        <f>tbl_ReceiptLines[[#This Row],[Line_Total]]-tbl_ReceiptLines[[#This Row],[Discount_Info]]</f>
        <v>1.49</v>
      </c>
      <c r="L306" s="6">
        <f>tbl_ReceiptLines[[#This Row],[Line_Total]]-tbl_ReceiptLines[[#This Row],[Discount_Info]]</f>
        <v>1.49</v>
      </c>
    </row>
    <row r="307" spans="1:12" hidden="1" x14ac:dyDescent="0.3">
      <c r="A307" t="s">
        <v>42</v>
      </c>
      <c r="B307" s="11" t="s">
        <v>40</v>
      </c>
      <c r="C307">
        <v>43</v>
      </c>
      <c r="D307" t="s">
        <v>500</v>
      </c>
      <c r="E307">
        <v>1</v>
      </c>
      <c r="F307">
        <v>90</v>
      </c>
      <c r="G307" s="6">
        <v>2.65</v>
      </c>
      <c r="H307" s="6">
        <f>tbl_ReceiptLines[[#This Row],[Quantity]]*tbl_ReceiptLines[[#This Row],[Unit_Price]]</f>
        <v>2.65</v>
      </c>
      <c r="J307">
        <f>tbl_ReceiptLines[[#This Row],[Line_Total]]-tbl_ReceiptLines[[#This Row],[Discount_Info]]</f>
        <v>2.65</v>
      </c>
      <c r="L307" s="6">
        <f>tbl_ReceiptLines[[#This Row],[Line_Total]]-tbl_ReceiptLines[[#This Row],[Discount_Info]]</f>
        <v>2.65</v>
      </c>
    </row>
    <row r="308" spans="1:12" hidden="1" x14ac:dyDescent="0.3">
      <c r="A308" t="s">
        <v>42</v>
      </c>
      <c r="B308" s="11" t="s">
        <v>40</v>
      </c>
      <c r="C308">
        <v>44</v>
      </c>
      <c r="D308" t="s">
        <v>545</v>
      </c>
      <c r="E308">
        <v>1</v>
      </c>
      <c r="F308">
        <v>80</v>
      </c>
      <c r="G308" s="6">
        <v>3.19</v>
      </c>
      <c r="H308" s="6">
        <f>tbl_ReceiptLines[[#This Row],[Quantity]]*tbl_ReceiptLines[[#This Row],[Unit_Price]]</f>
        <v>3.19</v>
      </c>
      <c r="J308">
        <f>tbl_ReceiptLines[[#This Row],[Line_Total]]-tbl_ReceiptLines[[#This Row],[Discount_Info]]</f>
        <v>3.19</v>
      </c>
      <c r="L308" s="6">
        <f>tbl_ReceiptLines[[#This Row],[Line_Total]]-tbl_ReceiptLines[[#This Row],[Discount_Info]]</f>
        <v>3.19</v>
      </c>
    </row>
    <row r="309" spans="1:12" hidden="1" x14ac:dyDescent="0.3">
      <c r="A309" t="s">
        <v>42</v>
      </c>
      <c r="B309" s="11" t="s">
        <v>40</v>
      </c>
      <c r="C309">
        <v>45</v>
      </c>
      <c r="D309" t="s">
        <v>470</v>
      </c>
      <c r="E309">
        <v>1</v>
      </c>
      <c r="F309">
        <v>4</v>
      </c>
      <c r="G309" s="6">
        <v>2.69</v>
      </c>
      <c r="H309" s="6">
        <f>tbl_ReceiptLines[[#This Row],[Quantity]]*tbl_ReceiptLines[[#This Row],[Unit_Price]]</f>
        <v>2.69</v>
      </c>
      <c r="J309">
        <f>tbl_ReceiptLines[[#This Row],[Line_Total]]-tbl_ReceiptLines[[#This Row],[Discount_Info]]</f>
        <v>2.69</v>
      </c>
      <c r="L309" s="6">
        <f>tbl_ReceiptLines[[#This Row],[Line_Total]]-tbl_ReceiptLines[[#This Row],[Discount_Info]]</f>
        <v>2.69</v>
      </c>
    </row>
    <row r="310" spans="1:12" x14ac:dyDescent="0.3">
      <c r="J310" t="e">
        <f>tbl_ReceiptLines[[#This Row],[Line_Total]]-tbl_ReceiptLines[[#This Row],[Discount_Info]]</f>
        <v>#VALUE!</v>
      </c>
    </row>
    <row r="311" spans="1:12" x14ac:dyDescent="0.3">
      <c r="J311" t="e">
        <f>tbl_ReceiptLines[[#This Row],[Line_Total]]-tbl_ReceiptLines[[#This Row],[Discount_Info]]</f>
        <v>#VALUE!</v>
      </c>
    </row>
    <row r="312" spans="1:12" x14ac:dyDescent="0.3">
      <c r="J312" t="e">
        <f>tbl_ReceiptLines[[#This Row],[Line_Total]]-tbl_ReceiptLines[[#This Row],[Discount_Info]]</f>
        <v>#VALUE!</v>
      </c>
    </row>
    <row r="313" spans="1:12" x14ac:dyDescent="0.3">
      <c r="J313" t="e">
        <f>tbl_ReceiptLines[[#This Row],[Line_Total]]-tbl_ReceiptLines[[#This Row],[Discount_Info]]</f>
        <v>#VALUE!</v>
      </c>
    </row>
    <row r="314" spans="1:12" x14ac:dyDescent="0.3">
      <c r="J314" t="e">
        <f>tbl_ReceiptLines[[#This Row],[Line_Total]]-tbl_ReceiptLines[[#This Row],[Discount_Info]]</f>
        <v>#VALUE!</v>
      </c>
    </row>
    <row r="315" spans="1:12" x14ac:dyDescent="0.3">
      <c r="J315" t="e">
        <f>tbl_ReceiptLines[[#This Row],[Line_Total]]-tbl_ReceiptLines[[#This Row],[Discount_Info]]</f>
        <v>#VALUE!</v>
      </c>
    </row>
    <row r="316" spans="1:12" x14ac:dyDescent="0.3">
      <c r="J316" t="e">
        <f>tbl_ReceiptLines[[#This Row],[Line_Total]]-tbl_ReceiptLines[[#This Row],[Discount_Info]]</f>
        <v>#VALUE!</v>
      </c>
    </row>
    <row r="317" spans="1:12" x14ac:dyDescent="0.3">
      <c r="J317" t="e">
        <f>tbl_ReceiptLines[[#This Row],[Line_Total]]-tbl_ReceiptLines[[#This Row],[Discount_Info]]</f>
        <v>#VALUE!</v>
      </c>
    </row>
    <row r="318" spans="1:12" x14ac:dyDescent="0.3">
      <c r="J318" t="e">
        <f>tbl_ReceiptLines[[#This Row],[Line_Total]]-tbl_ReceiptLines[[#This Row],[Discount_Info]]</f>
        <v>#VALUE!</v>
      </c>
    </row>
    <row r="319" spans="1:12" x14ac:dyDescent="0.3">
      <c r="J319" t="e">
        <f>tbl_ReceiptLines[[#This Row],[Line_Total]]-tbl_ReceiptLines[[#This Row],[Discount_Info]]</f>
        <v>#VALUE!</v>
      </c>
    </row>
    <row r="320" spans="1:12" x14ac:dyDescent="0.3">
      <c r="J320" t="e">
        <f>tbl_ReceiptLines[[#This Row],[Line_Total]]-tbl_ReceiptLines[[#This Row],[Discount_Info]]</f>
        <v>#VALUE!</v>
      </c>
    </row>
    <row r="321" spans="10:10" x14ac:dyDescent="0.3">
      <c r="J321" t="e">
        <f>tbl_ReceiptLines[[#This Row],[Line_Total]]-tbl_ReceiptLines[[#This Row],[Discount_Info]]</f>
        <v>#VALUE!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</sheetPr>
  <dimension ref="A1:J20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4" customWidth="1"/>
    <col min="3" max="3" width="10" customWidth="1"/>
    <col min="4" max="4" width="12" customWidth="1"/>
    <col min="5" max="5" width="10" customWidth="1"/>
    <col min="6" max="6" width="12" customWidth="1"/>
    <col min="7" max="7" width="18" customWidth="1"/>
    <col min="8" max="9" width="35" customWidth="1"/>
    <col min="10" max="10" width="60" customWidth="1"/>
  </cols>
  <sheetData>
    <row r="1" spans="1:10" ht="28.8" x14ac:dyDescent="0.3">
      <c r="A1" s="23" t="s">
        <v>0</v>
      </c>
      <c r="B1" s="23" t="s">
        <v>1</v>
      </c>
      <c r="C1" s="23" t="s">
        <v>546</v>
      </c>
      <c r="D1" s="23" t="s">
        <v>3</v>
      </c>
      <c r="E1" s="23" t="s">
        <v>60</v>
      </c>
      <c r="F1" s="23" t="s">
        <v>103</v>
      </c>
      <c r="G1" s="23" t="s">
        <v>547</v>
      </c>
      <c r="H1" s="23" t="s">
        <v>548</v>
      </c>
      <c r="I1" s="23" t="s">
        <v>549</v>
      </c>
      <c r="J1" s="23" t="s">
        <v>550</v>
      </c>
    </row>
    <row r="2" spans="1:10" ht="28.8" x14ac:dyDescent="0.3">
      <c r="A2" s="24" t="s">
        <v>10</v>
      </c>
      <c r="B2" s="24" t="s">
        <v>11</v>
      </c>
      <c r="C2" s="24">
        <v>9</v>
      </c>
      <c r="D2" s="24" t="s">
        <v>13</v>
      </c>
      <c r="E2" s="24"/>
      <c r="F2" s="24" t="s">
        <v>15</v>
      </c>
      <c r="G2" s="24" t="s">
        <v>16</v>
      </c>
      <c r="H2" s="24">
        <v>102.39</v>
      </c>
      <c r="I2" s="24">
        <v>104.95</v>
      </c>
      <c r="J2" s="24" t="s">
        <v>551</v>
      </c>
    </row>
    <row r="3" spans="1:10" ht="28.8" x14ac:dyDescent="0.3">
      <c r="A3" s="24" t="s">
        <v>10</v>
      </c>
      <c r="B3" s="24" t="s">
        <v>20</v>
      </c>
      <c r="C3" s="24">
        <v>26</v>
      </c>
      <c r="D3" s="24" t="s">
        <v>22</v>
      </c>
      <c r="E3" s="24"/>
      <c r="F3" s="24" t="s">
        <v>15</v>
      </c>
      <c r="G3" s="24" t="s">
        <v>23</v>
      </c>
      <c r="H3" s="24" t="s">
        <v>24</v>
      </c>
      <c r="I3" s="24" t="s">
        <v>25</v>
      </c>
      <c r="J3" s="24" t="s">
        <v>551</v>
      </c>
    </row>
    <row r="4" spans="1:10" ht="28.8" x14ac:dyDescent="0.3">
      <c r="A4" s="24" t="s">
        <v>10</v>
      </c>
      <c r="B4" s="24" t="s">
        <v>20</v>
      </c>
      <c r="C4" s="24">
        <v>26</v>
      </c>
      <c r="D4" s="24" t="s">
        <v>22</v>
      </c>
      <c r="E4" s="24"/>
      <c r="F4" s="24" t="s">
        <v>15</v>
      </c>
      <c r="G4" s="24" t="s">
        <v>27</v>
      </c>
      <c r="H4" s="25">
        <v>46174</v>
      </c>
      <c r="I4" s="24" t="s">
        <v>29</v>
      </c>
      <c r="J4" s="24" t="s">
        <v>551</v>
      </c>
    </row>
    <row r="5" spans="1:10" ht="28.8" x14ac:dyDescent="0.3">
      <c r="A5" s="24" t="s">
        <v>10</v>
      </c>
      <c r="B5" s="24" t="s">
        <v>20</v>
      </c>
      <c r="C5" s="24">
        <v>26</v>
      </c>
      <c r="D5" s="24" t="s">
        <v>22</v>
      </c>
      <c r="E5" s="24"/>
      <c r="F5" s="24" t="s">
        <v>15</v>
      </c>
      <c r="G5" s="24" t="s">
        <v>16</v>
      </c>
      <c r="H5" s="24">
        <v>106.47</v>
      </c>
      <c r="I5" s="24">
        <v>114.46</v>
      </c>
      <c r="J5" s="24" t="s">
        <v>551</v>
      </c>
    </row>
    <row r="6" spans="1:10" ht="28.8" x14ac:dyDescent="0.3">
      <c r="A6" s="24" t="s">
        <v>10</v>
      </c>
      <c r="B6" s="24" t="s">
        <v>33</v>
      </c>
      <c r="C6" s="24">
        <v>27</v>
      </c>
      <c r="D6" s="24" t="s">
        <v>35</v>
      </c>
      <c r="E6" s="24"/>
      <c r="F6" s="24" t="s">
        <v>15</v>
      </c>
      <c r="G6" s="24" t="s">
        <v>23</v>
      </c>
      <c r="H6" s="24" t="s">
        <v>24</v>
      </c>
      <c r="I6" s="24" t="s">
        <v>25</v>
      </c>
      <c r="J6" s="24" t="s">
        <v>551</v>
      </c>
    </row>
    <row r="7" spans="1:10" ht="28.8" x14ac:dyDescent="0.3">
      <c r="A7" s="24" t="s">
        <v>10</v>
      </c>
      <c r="B7" s="24" t="s">
        <v>33</v>
      </c>
      <c r="C7" s="24">
        <v>27</v>
      </c>
      <c r="D7" s="24" t="s">
        <v>35</v>
      </c>
      <c r="E7" s="24"/>
      <c r="F7" s="24" t="s">
        <v>15</v>
      </c>
      <c r="G7" s="24" t="s">
        <v>27</v>
      </c>
      <c r="H7" s="25">
        <v>46150</v>
      </c>
      <c r="I7" s="24" t="s">
        <v>37</v>
      </c>
      <c r="J7" s="24" t="s">
        <v>551</v>
      </c>
    </row>
    <row r="8" spans="1:10" ht="28.8" x14ac:dyDescent="0.3">
      <c r="A8" s="24" t="s">
        <v>10</v>
      </c>
      <c r="B8" s="24" t="s">
        <v>33</v>
      </c>
      <c r="C8" s="24">
        <v>27</v>
      </c>
      <c r="D8" s="24" t="s">
        <v>35</v>
      </c>
      <c r="E8" s="24"/>
      <c r="F8" s="24" t="s">
        <v>15</v>
      </c>
      <c r="G8" s="24" t="s">
        <v>16</v>
      </c>
      <c r="H8" s="24">
        <v>138.32</v>
      </c>
      <c r="I8" s="24">
        <v>138.93</v>
      </c>
      <c r="J8" s="24" t="s">
        <v>551</v>
      </c>
    </row>
    <row r="9" spans="1:10" ht="28.8" x14ac:dyDescent="0.3">
      <c r="A9" s="24" t="s">
        <v>10</v>
      </c>
      <c r="B9" s="24" t="s">
        <v>40</v>
      </c>
      <c r="C9" s="24">
        <v>28</v>
      </c>
      <c r="D9" s="24" t="s">
        <v>42</v>
      </c>
      <c r="E9" s="24"/>
      <c r="F9" s="24" t="s">
        <v>15</v>
      </c>
      <c r="G9" s="24" t="s">
        <v>23</v>
      </c>
      <c r="H9" s="24" t="s">
        <v>24</v>
      </c>
      <c r="I9" s="24" t="s">
        <v>25</v>
      </c>
      <c r="J9" s="24" t="s">
        <v>551</v>
      </c>
    </row>
    <row r="10" spans="1:10" ht="28.8" x14ac:dyDescent="0.3">
      <c r="A10" s="24" t="s">
        <v>10</v>
      </c>
      <c r="B10" s="24" t="s">
        <v>40</v>
      </c>
      <c r="C10" s="24">
        <v>28</v>
      </c>
      <c r="D10" s="24" t="s">
        <v>42</v>
      </c>
      <c r="E10" s="24"/>
      <c r="F10" s="24" t="s">
        <v>15</v>
      </c>
      <c r="G10" s="24" t="s">
        <v>27</v>
      </c>
      <c r="H10" s="25">
        <v>46129</v>
      </c>
      <c r="I10" s="24" t="s">
        <v>44</v>
      </c>
      <c r="J10" s="24" t="s">
        <v>551</v>
      </c>
    </row>
    <row r="11" spans="1:10" ht="28.8" x14ac:dyDescent="0.3">
      <c r="A11" s="24" t="s">
        <v>10</v>
      </c>
      <c r="B11" s="24" t="s">
        <v>40</v>
      </c>
      <c r="C11" s="24">
        <v>28</v>
      </c>
      <c r="D11" s="24" t="s">
        <v>42</v>
      </c>
      <c r="E11" s="24"/>
      <c r="F11" s="24" t="s">
        <v>15</v>
      </c>
      <c r="G11" s="24" t="s">
        <v>16</v>
      </c>
      <c r="H11" s="24">
        <v>152.37</v>
      </c>
      <c r="I11" s="24">
        <v>153.43</v>
      </c>
      <c r="J11" s="24" t="s">
        <v>551</v>
      </c>
    </row>
    <row r="12" spans="1:10" ht="28.8" x14ac:dyDescent="0.3">
      <c r="A12" s="24" t="s">
        <v>47</v>
      </c>
      <c r="B12" s="24" t="s">
        <v>20</v>
      </c>
      <c r="C12" s="24">
        <v>178</v>
      </c>
      <c r="D12" s="24" t="s">
        <v>22</v>
      </c>
      <c r="E12" s="24">
        <v>2</v>
      </c>
      <c r="F12" s="24" t="s">
        <v>15</v>
      </c>
      <c r="G12" s="24" t="s">
        <v>60</v>
      </c>
      <c r="H12" s="24">
        <v>1</v>
      </c>
      <c r="I12" s="24">
        <v>2</v>
      </c>
      <c r="J12" s="24" t="s">
        <v>552</v>
      </c>
    </row>
    <row r="13" spans="1:10" ht="28.8" x14ac:dyDescent="0.3">
      <c r="A13" s="24" t="s">
        <v>47</v>
      </c>
      <c r="B13" s="24" t="s">
        <v>20</v>
      </c>
      <c r="C13" s="24">
        <v>179</v>
      </c>
      <c r="D13" s="24" t="s">
        <v>22</v>
      </c>
      <c r="E13" s="24">
        <v>3</v>
      </c>
      <c r="F13" s="24" t="s">
        <v>15</v>
      </c>
      <c r="G13" s="24" t="s">
        <v>60</v>
      </c>
      <c r="H13" s="24">
        <v>2</v>
      </c>
      <c r="I13" s="24">
        <v>3</v>
      </c>
      <c r="J13" s="24" t="s">
        <v>552</v>
      </c>
    </row>
    <row r="14" spans="1:10" ht="28.8" x14ac:dyDescent="0.3">
      <c r="A14" s="24" t="s">
        <v>47</v>
      </c>
      <c r="B14" s="24" t="s">
        <v>20</v>
      </c>
      <c r="C14" s="24">
        <v>180</v>
      </c>
      <c r="D14" s="24" t="s">
        <v>22</v>
      </c>
      <c r="E14" s="24">
        <v>4</v>
      </c>
      <c r="F14" s="24" t="s">
        <v>15</v>
      </c>
      <c r="G14" s="24" t="s">
        <v>60</v>
      </c>
      <c r="H14" s="24">
        <v>3</v>
      </c>
      <c r="I14" s="24">
        <v>4</v>
      </c>
      <c r="J14" s="24" t="s">
        <v>552</v>
      </c>
    </row>
    <row r="15" spans="1:10" ht="28.8" x14ac:dyDescent="0.3">
      <c r="A15" s="24" t="s">
        <v>47</v>
      </c>
      <c r="B15" s="24" t="s">
        <v>20</v>
      </c>
      <c r="C15" s="24">
        <v>181</v>
      </c>
      <c r="D15" s="24" t="s">
        <v>22</v>
      </c>
      <c r="E15" s="24">
        <v>5</v>
      </c>
      <c r="F15" s="24" t="s">
        <v>15</v>
      </c>
      <c r="G15" s="24" t="s">
        <v>60</v>
      </c>
      <c r="H15" s="24">
        <v>4</v>
      </c>
      <c r="I15" s="24">
        <v>5</v>
      </c>
      <c r="J15" s="24" t="s">
        <v>552</v>
      </c>
    </row>
    <row r="16" spans="1:10" ht="28.8" x14ac:dyDescent="0.3">
      <c r="A16" s="24" t="s">
        <v>47</v>
      </c>
      <c r="B16" s="24" t="s">
        <v>20</v>
      </c>
      <c r="C16" s="24">
        <v>182</v>
      </c>
      <c r="D16" s="24" t="s">
        <v>22</v>
      </c>
      <c r="E16" s="24">
        <v>6</v>
      </c>
      <c r="F16" s="24" t="s">
        <v>15</v>
      </c>
      <c r="G16" s="24" t="s">
        <v>60</v>
      </c>
      <c r="H16" s="24">
        <v>5</v>
      </c>
      <c r="I16" s="24">
        <v>6</v>
      </c>
      <c r="J16" s="24" t="s">
        <v>552</v>
      </c>
    </row>
    <row r="17" spans="1:10" ht="28.8" x14ac:dyDescent="0.3">
      <c r="A17" s="24" t="s">
        <v>47</v>
      </c>
      <c r="B17" s="24" t="s">
        <v>20</v>
      </c>
      <c r="C17" s="24">
        <v>183</v>
      </c>
      <c r="D17" s="24" t="s">
        <v>22</v>
      </c>
      <c r="E17" s="24">
        <v>7</v>
      </c>
      <c r="F17" s="24" t="s">
        <v>15</v>
      </c>
      <c r="G17" s="24" t="s">
        <v>60</v>
      </c>
      <c r="H17" s="24">
        <v>6</v>
      </c>
      <c r="I17" s="24">
        <v>7</v>
      </c>
      <c r="J17" s="24" t="s">
        <v>552</v>
      </c>
    </row>
    <row r="18" spans="1:10" ht="28.8" x14ac:dyDescent="0.3">
      <c r="A18" s="24" t="s">
        <v>47</v>
      </c>
      <c r="B18" s="24" t="s">
        <v>20</v>
      </c>
      <c r="C18" s="24">
        <v>183</v>
      </c>
      <c r="D18" s="24" t="s">
        <v>22</v>
      </c>
      <c r="E18" s="24">
        <v>7</v>
      </c>
      <c r="F18" s="24" t="s">
        <v>15</v>
      </c>
      <c r="G18" s="24" t="s">
        <v>72</v>
      </c>
      <c r="H18" s="24" t="s">
        <v>323</v>
      </c>
      <c r="I18" s="24" t="s">
        <v>320</v>
      </c>
      <c r="J18" s="24" t="s">
        <v>552</v>
      </c>
    </row>
    <row r="19" spans="1:10" ht="28.8" x14ac:dyDescent="0.3">
      <c r="A19" s="24" t="s">
        <v>47</v>
      </c>
      <c r="B19" s="24" t="s">
        <v>20</v>
      </c>
      <c r="C19" s="24">
        <v>183</v>
      </c>
      <c r="D19" s="24" t="s">
        <v>22</v>
      </c>
      <c r="E19" s="24">
        <v>7</v>
      </c>
      <c r="F19" s="24" t="s">
        <v>15</v>
      </c>
      <c r="G19" s="24" t="s">
        <v>239</v>
      </c>
      <c r="H19" s="24">
        <v>1000</v>
      </c>
      <c r="I19" s="24">
        <v>1</v>
      </c>
      <c r="J19" s="24" t="s">
        <v>552</v>
      </c>
    </row>
    <row r="20" spans="1:10" ht="28.8" x14ac:dyDescent="0.3">
      <c r="A20" s="24" t="s">
        <v>47</v>
      </c>
      <c r="B20" s="24" t="s">
        <v>20</v>
      </c>
      <c r="C20" s="24">
        <v>183</v>
      </c>
      <c r="D20" s="24" t="s">
        <v>22</v>
      </c>
      <c r="E20" s="24">
        <v>7</v>
      </c>
      <c r="F20" s="24" t="s">
        <v>15</v>
      </c>
      <c r="G20" s="24" t="s">
        <v>240</v>
      </c>
      <c r="H20" s="24">
        <v>3.99</v>
      </c>
      <c r="I20" s="24">
        <v>2.4900000000000002</v>
      </c>
      <c r="J20" s="24" t="s">
        <v>552</v>
      </c>
    </row>
    <row r="21" spans="1:10" ht="28.8" x14ac:dyDescent="0.3">
      <c r="A21" s="24" t="s">
        <v>47</v>
      </c>
      <c r="B21" s="24" t="s">
        <v>20</v>
      </c>
      <c r="C21" s="24">
        <v>183</v>
      </c>
      <c r="D21" s="24" t="s">
        <v>22</v>
      </c>
      <c r="E21" s="24">
        <v>7</v>
      </c>
      <c r="F21" s="24" t="s">
        <v>15</v>
      </c>
      <c r="G21" s="24" t="s">
        <v>243</v>
      </c>
      <c r="H21" s="24">
        <f>tbl_ReceiptLines[[#This Row],[Line_Total]]-tbl_ReceiptLines[[#This Row],[Discount_Info]]</f>
        <v>1.65</v>
      </c>
      <c r="I21" s="24"/>
      <c r="J21" s="24" t="s">
        <v>552</v>
      </c>
    </row>
    <row r="22" spans="1:10" ht="28.8" x14ac:dyDescent="0.3">
      <c r="A22" s="24" t="s">
        <v>47</v>
      </c>
      <c r="B22" s="24" t="s">
        <v>20</v>
      </c>
      <c r="C22" s="24">
        <v>184</v>
      </c>
      <c r="D22" s="24" t="s">
        <v>22</v>
      </c>
      <c r="E22" s="24">
        <v>8</v>
      </c>
      <c r="F22" s="24" t="s">
        <v>15</v>
      </c>
      <c r="G22" s="24" t="s">
        <v>60</v>
      </c>
      <c r="H22" s="24">
        <v>7</v>
      </c>
      <c r="I22" s="24">
        <v>8</v>
      </c>
      <c r="J22" s="24" t="s">
        <v>552</v>
      </c>
    </row>
    <row r="23" spans="1:10" ht="28.8" x14ac:dyDescent="0.3">
      <c r="A23" s="24" t="s">
        <v>47</v>
      </c>
      <c r="B23" s="24" t="s">
        <v>20</v>
      </c>
      <c r="C23" s="24">
        <v>184</v>
      </c>
      <c r="D23" s="24" t="s">
        <v>22</v>
      </c>
      <c r="E23" s="24">
        <v>8</v>
      </c>
      <c r="F23" s="24" t="s">
        <v>15</v>
      </c>
      <c r="G23" s="24" t="s">
        <v>72</v>
      </c>
      <c r="H23" s="24" t="s">
        <v>347</v>
      </c>
      <c r="I23" s="24" t="s">
        <v>323</v>
      </c>
      <c r="J23" s="24" t="s">
        <v>552</v>
      </c>
    </row>
    <row r="24" spans="1:10" ht="28.8" x14ac:dyDescent="0.3">
      <c r="A24" s="24" t="s">
        <v>47</v>
      </c>
      <c r="B24" s="24" t="s">
        <v>20</v>
      </c>
      <c r="C24" s="24">
        <v>184</v>
      </c>
      <c r="D24" s="24" t="s">
        <v>22</v>
      </c>
      <c r="E24" s="24">
        <v>8</v>
      </c>
      <c r="F24" s="24" t="s">
        <v>15</v>
      </c>
      <c r="G24" s="24" t="s">
        <v>238</v>
      </c>
      <c r="H24" s="24">
        <v>3</v>
      </c>
      <c r="I24" s="24">
        <v>1</v>
      </c>
      <c r="J24" s="24" t="s">
        <v>552</v>
      </c>
    </row>
    <row r="25" spans="1:10" ht="28.8" x14ac:dyDescent="0.3">
      <c r="A25" s="24" t="s">
        <v>47</v>
      </c>
      <c r="B25" s="24" t="s">
        <v>20</v>
      </c>
      <c r="C25" s="24">
        <v>184</v>
      </c>
      <c r="D25" s="24" t="s">
        <v>22</v>
      </c>
      <c r="E25" s="24">
        <v>8</v>
      </c>
      <c r="F25" s="24" t="s">
        <v>15</v>
      </c>
      <c r="G25" s="24" t="s">
        <v>239</v>
      </c>
      <c r="H25" s="24">
        <v>200</v>
      </c>
      <c r="I25" s="24">
        <v>1000</v>
      </c>
      <c r="J25" s="24" t="s">
        <v>552</v>
      </c>
    </row>
    <row r="26" spans="1:10" ht="28.8" x14ac:dyDescent="0.3">
      <c r="A26" s="24" t="s">
        <v>47</v>
      </c>
      <c r="B26" s="24" t="s">
        <v>20</v>
      </c>
      <c r="C26" s="24">
        <v>184</v>
      </c>
      <c r="D26" s="24" t="s">
        <v>22</v>
      </c>
      <c r="E26" s="24">
        <v>8</v>
      </c>
      <c r="F26" s="24" t="s">
        <v>15</v>
      </c>
      <c r="G26" s="24" t="s">
        <v>240</v>
      </c>
      <c r="H26" s="24">
        <f>4.77/3</f>
        <v>1.5899999999999999</v>
      </c>
      <c r="I26" s="24">
        <v>3.99</v>
      </c>
      <c r="J26" s="24" t="s">
        <v>552</v>
      </c>
    </row>
    <row r="27" spans="1:10" ht="28.8" x14ac:dyDescent="0.3">
      <c r="A27" s="24" t="s">
        <v>47</v>
      </c>
      <c r="B27" s="24" t="s">
        <v>20</v>
      </c>
      <c r="C27" s="24">
        <v>184</v>
      </c>
      <c r="D27" s="24" t="s">
        <v>22</v>
      </c>
      <c r="E27" s="24">
        <v>8</v>
      </c>
      <c r="F27" s="24" t="s">
        <v>15</v>
      </c>
      <c r="G27" s="24" t="s">
        <v>244</v>
      </c>
      <c r="H27" s="24">
        <v>0.12</v>
      </c>
      <c r="I27" s="24"/>
      <c r="J27" s="24" t="s">
        <v>552</v>
      </c>
    </row>
    <row r="28" spans="1:10" ht="28.8" x14ac:dyDescent="0.3">
      <c r="A28" s="24" t="s">
        <v>47</v>
      </c>
      <c r="B28" s="24" t="s">
        <v>20</v>
      </c>
      <c r="C28" s="24">
        <v>185</v>
      </c>
      <c r="D28" s="24" t="s">
        <v>22</v>
      </c>
      <c r="E28" s="24">
        <v>9</v>
      </c>
      <c r="F28" s="24" t="s">
        <v>15</v>
      </c>
      <c r="G28" s="24" t="s">
        <v>60</v>
      </c>
      <c r="H28" s="24">
        <v>8</v>
      </c>
      <c r="I28" s="24">
        <v>9</v>
      </c>
      <c r="J28" s="24" t="s">
        <v>552</v>
      </c>
    </row>
    <row r="29" spans="1:10" ht="28.8" x14ac:dyDescent="0.3">
      <c r="A29" s="24" t="s">
        <v>47</v>
      </c>
      <c r="B29" s="24" t="s">
        <v>20</v>
      </c>
      <c r="C29" s="24">
        <v>185</v>
      </c>
      <c r="D29" s="24" t="s">
        <v>22</v>
      </c>
      <c r="E29" s="24">
        <v>9</v>
      </c>
      <c r="F29" s="24" t="s">
        <v>15</v>
      </c>
      <c r="G29" s="24" t="s">
        <v>72</v>
      </c>
      <c r="H29" s="24" t="s">
        <v>553</v>
      </c>
      <c r="I29" s="24" t="s">
        <v>347</v>
      </c>
      <c r="J29" s="24" t="s">
        <v>552</v>
      </c>
    </row>
    <row r="30" spans="1:10" ht="28.8" x14ac:dyDescent="0.3">
      <c r="A30" s="24" t="s">
        <v>47</v>
      </c>
      <c r="B30" s="24" t="s">
        <v>20</v>
      </c>
      <c r="C30" s="24">
        <v>185</v>
      </c>
      <c r="D30" s="24" t="s">
        <v>22</v>
      </c>
      <c r="E30" s="24">
        <v>9</v>
      </c>
      <c r="F30" s="24" t="s">
        <v>15</v>
      </c>
      <c r="G30" s="24" t="s">
        <v>238</v>
      </c>
      <c r="H30" s="24">
        <v>1</v>
      </c>
      <c r="I30" s="24">
        <v>3</v>
      </c>
      <c r="J30" s="24" t="s">
        <v>552</v>
      </c>
    </row>
    <row r="31" spans="1:10" ht="28.8" x14ac:dyDescent="0.3">
      <c r="A31" s="24" t="s">
        <v>47</v>
      </c>
      <c r="B31" s="24" t="s">
        <v>20</v>
      </c>
      <c r="C31" s="24">
        <v>185</v>
      </c>
      <c r="D31" s="24" t="s">
        <v>22</v>
      </c>
      <c r="E31" s="24">
        <v>9</v>
      </c>
      <c r="F31" s="24" t="s">
        <v>15</v>
      </c>
      <c r="G31" s="24" t="s">
        <v>239</v>
      </c>
      <c r="H31" s="24">
        <v>100</v>
      </c>
      <c r="I31" s="24">
        <v>200</v>
      </c>
      <c r="J31" s="24" t="s">
        <v>552</v>
      </c>
    </row>
    <row r="32" spans="1:10" ht="28.8" x14ac:dyDescent="0.3">
      <c r="A32" s="24" t="s">
        <v>47</v>
      </c>
      <c r="B32" s="24" t="s">
        <v>20</v>
      </c>
      <c r="C32" s="24">
        <v>185</v>
      </c>
      <c r="D32" s="24" t="s">
        <v>22</v>
      </c>
      <c r="E32" s="24">
        <v>9</v>
      </c>
      <c r="F32" s="24" t="s">
        <v>15</v>
      </c>
      <c r="G32" s="24" t="s">
        <v>240</v>
      </c>
      <c r="H32" s="24">
        <v>2.69</v>
      </c>
      <c r="I32" s="24">
        <f>4.77/3</f>
        <v>1.5899999999999999</v>
      </c>
      <c r="J32" s="24" t="s">
        <v>552</v>
      </c>
    </row>
    <row r="33" spans="1:10" ht="28.8" x14ac:dyDescent="0.3">
      <c r="A33" s="24" t="s">
        <v>47</v>
      </c>
      <c r="B33" s="24" t="s">
        <v>20</v>
      </c>
      <c r="C33" s="24">
        <v>185</v>
      </c>
      <c r="D33" s="24" t="s">
        <v>22</v>
      </c>
      <c r="E33" s="24">
        <v>9</v>
      </c>
      <c r="F33" s="24" t="s">
        <v>15</v>
      </c>
      <c r="G33" s="24" t="s">
        <v>244</v>
      </c>
      <c r="H33" s="24"/>
      <c r="I33" s="24">
        <v>0.12</v>
      </c>
      <c r="J33" s="24" t="s">
        <v>552</v>
      </c>
    </row>
    <row r="34" spans="1:10" ht="28.8" x14ac:dyDescent="0.3">
      <c r="A34" s="24" t="s">
        <v>47</v>
      </c>
      <c r="B34" s="24" t="s">
        <v>20</v>
      </c>
      <c r="C34" s="24">
        <v>186</v>
      </c>
      <c r="D34" s="24" t="s">
        <v>22</v>
      </c>
      <c r="E34" s="24">
        <v>10</v>
      </c>
      <c r="F34" s="24" t="s">
        <v>15</v>
      </c>
      <c r="G34" s="24" t="s">
        <v>60</v>
      </c>
      <c r="H34" s="24">
        <v>9</v>
      </c>
      <c r="I34" s="24">
        <v>10</v>
      </c>
      <c r="J34" s="24" t="s">
        <v>552</v>
      </c>
    </row>
    <row r="35" spans="1:10" ht="28.8" x14ac:dyDescent="0.3">
      <c r="A35" s="24" t="s">
        <v>47</v>
      </c>
      <c r="B35" s="24" t="s">
        <v>20</v>
      </c>
      <c r="C35" s="24">
        <v>186</v>
      </c>
      <c r="D35" s="24" t="s">
        <v>22</v>
      </c>
      <c r="E35" s="24">
        <v>10</v>
      </c>
      <c r="F35" s="24" t="s">
        <v>15</v>
      </c>
      <c r="G35" s="24" t="s">
        <v>72</v>
      </c>
      <c r="H35" s="24" t="s">
        <v>468</v>
      </c>
      <c r="I35" s="24" t="s">
        <v>467</v>
      </c>
      <c r="J35" s="24" t="s">
        <v>552</v>
      </c>
    </row>
    <row r="36" spans="1:10" ht="28.8" x14ac:dyDescent="0.3">
      <c r="A36" s="24" t="s">
        <v>47</v>
      </c>
      <c r="B36" s="24" t="s">
        <v>20</v>
      </c>
      <c r="C36" s="24">
        <v>186</v>
      </c>
      <c r="D36" s="24" t="s">
        <v>22</v>
      </c>
      <c r="E36" s="24">
        <v>10</v>
      </c>
      <c r="F36" s="24" t="s">
        <v>15</v>
      </c>
      <c r="G36" s="24" t="s">
        <v>239</v>
      </c>
      <c r="H36" s="24">
        <v>150</v>
      </c>
      <c r="I36" s="24">
        <v>100</v>
      </c>
      <c r="J36" s="24" t="s">
        <v>552</v>
      </c>
    </row>
    <row r="37" spans="1:10" ht="28.8" x14ac:dyDescent="0.3">
      <c r="A37" s="24" t="s">
        <v>47</v>
      </c>
      <c r="B37" s="24" t="s">
        <v>20</v>
      </c>
      <c r="C37" s="24">
        <v>186</v>
      </c>
      <c r="D37" s="24" t="s">
        <v>22</v>
      </c>
      <c r="E37" s="24">
        <v>10</v>
      </c>
      <c r="F37" s="24" t="s">
        <v>15</v>
      </c>
      <c r="G37" s="24" t="s">
        <v>240</v>
      </c>
      <c r="H37" s="24">
        <v>3.59</v>
      </c>
      <c r="I37" s="24">
        <v>2.69</v>
      </c>
      <c r="J37" s="24" t="s">
        <v>552</v>
      </c>
    </row>
    <row r="38" spans="1:10" ht="28.8" x14ac:dyDescent="0.3">
      <c r="A38" s="24" t="s">
        <v>47</v>
      </c>
      <c r="B38" s="24" t="s">
        <v>20</v>
      </c>
      <c r="C38" s="24">
        <v>187</v>
      </c>
      <c r="D38" s="24" t="s">
        <v>22</v>
      </c>
      <c r="E38" s="24">
        <v>11</v>
      </c>
      <c r="F38" s="24" t="s">
        <v>15</v>
      </c>
      <c r="G38" s="24" t="s">
        <v>60</v>
      </c>
      <c r="H38" s="24">
        <v>10</v>
      </c>
      <c r="I38" s="24">
        <v>11</v>
      </c>
      <c r="J38" s="24" t="s">
        <v>552</v>
      </c>
    </row>
    <row r="39" spans="1:10" ht="28.8" x14ac:dyDescent="0.3">
      <c r="A39" s="24" t="s">
        <v>47</v>
      </c>
      <c r="B39" s="24" t="s">
        <v>20</v>
      </c>
      <c r="C39" s="24">
        <v>187</v>
      </c>
      <c r="D39" s="24" t="s">
        <v>22</v>
      </c>
      <c r="E39" s="24">
        <v>11</v>
      </c>
      <c r="F39" s="24" t="s">
        <v>15</v>
      </c>
      <c r="G39" s="24" t="s">
        <v>72</v>
      </c>
      <c r="H39" s="24" t="s">
        <v>469</v>
      </c>
      <c r="I39" s="24" t="s">
        <v>468</v>
      </c>
      <c r="J39" s="24" t="s">
        <v>552</v>
      </c>
    </row>
    <row r="40" spans="1:10" ht="28.8" x14ac:dyDescent="0.3">
      <c r="A40" s="24" t="s">
        <v>47</v>
      </c>
      <c r="B40" s="24" t="s">
        <v>20</v>
      </c>
      <c r="C40" s="24">
        <v>187</v>
      </c>
      <c r="D40" s="24" t="s">
        <v>22</v>
      </c>
      <c r="E40" s="24">
        <v>11</v>
      </c>
      <c r="F40" s="24" t="s">
        <v>15</v>
      </c>
      <c r="G40" s="24" t="s">
        <v>239</v>
      </c>
      <c r="H40" s="24">
        <v>200</v>
      </c>
      <c r="I40" s="24">
        <v>150</v>
      </c>
      <c r="J40" s="24" t="s">
        <v>552</v>
      </c>
    </row>
    <row r="41" spans="1:10" ht="28.8" x14ac:dyDescent="0.3">
      <c r="A41" s="24" t="s">
        <v>47</v>
      </c>
      <c r="B41" s="24" t="s">
        <v>20</v>
      </c>
      <c r="C41" s="24">
        <v>187</v>
      </c>
      <c r="D41" s="24" t="s">
        <v>22</v>
      </c>
      <c r="E41" s="24">
        <v>11</v>
      </c>
      <c r="F41" s="24" t="s">
        <v>15</v>
      </c>
      <c r="G41" s="24" t="s">
        <v>240</v>
      </c>
      <c r="H41" s="24">
        <v>2.99</v>
      </c>
      <c r="I41" s="24">
        <v>3.59</v>
      </c>
      <c r="J41" s="24" t="s">
        <v>552</v>
      </c>
    </row>
    <row r="42" spans="1:10" ht="28.8" x14ac:dyDescent="0.3">
      <c r="A42" s="24" t="s">
        <v>47</v>
      </c>
      <c r="B42" s="24" t="s">
        <v>20</v>
      </c>
      <c r="C42" s="24">
        <v>188</v>
      </c>
      <c r="D42" s="24" t="s">
        <v>22</v>
      </c>
      <c r="E42" s="24">
        <v>12</v>
      </c>
      <c r="F42" s="24" t="s">
        <v>15</v>
      </c>
      <c r="G42" s="24" t="s">
        <v>60</v>
      </c>
      <c r="H42" s="24">
        <v>11</v>
      </c>
      <c r="I42" s="24">
        <v>12</v>
      </c>
      <c r="J42" s="24" t="s">
        <v>552</v>
      </c>
    </row>
    <row r="43" spans="1:10" ht="28.8" x14ac:dyDescent="0.3">
      <c r="A43" s="24" t="s">
        <v>47</v>
      </c>
      <c r="B43" s="24" t="s">
        <v>20</v>
      </c>
      <c r="C43" s="24">
        <v>188</v>
      </c>
      <c r="D43" s="24" t="s">
        <v>22</v>
      </c>
      <c r="E43" s="24">
        <v>12</v>
      </c>
      <c r="F43" s="24" t="s">
        <v>15</v>
      </c>
      <c r="G43" s="24" t="s">
        <v>72</v>
      </c>
      <c r="H43" s="24" t="s">
        <v>470</v>
      </c>
      <c r="I43" s="24" t="s">
        <v>469</v>
      </c>
      <c r="J43" s="24" t="s">
        <v>552</v>
      </c>
    </row>
    <row r="44" spans="1:10" ht="28.8" x14ac:dyDescent="0.3">
      <c r="A44" s="24" t="s">
        <v>47</v>
      </c>
      <c r="B44" s="24" t="s">
        <v>20</v>
      </c>
      <c r="C44" s="24">
        <v>188</v>
      </c>
      <c r="D44" s="24" t="s">
        <v>22</v>
      </c>
      <c r="E44" s="24">
        <v>12</v>
      </c>
      <c r="F44" s="24" t="s">
        <v>15</v>
      </c>
      <c r="G44" s="24" t="s">
        <v>239</v>
      </c>
      <c r="H44" s="24">
        <v>4</v>
      </c>
      <c r="I44" s="24">
        <v>200</v>
      </c>
      <c r="J44" s="24" t="s">
        <v>552</v>
      </c>
    </row>
    <row r="45" spans="1:10" ht="28.8" x14ac:dyDescent="0.3">
      <c r="A45" s="24" t="s">
        <v>47</v>
      </c>
      <c r="B45" s="24" t="s">
        <v>20</v>
      </c>
      <c r="C45" s="24">
        <v>188</v>
      </c>
      <c r="D45" s="24" t="s">
        <v>22</v>
      </c>
      <c r="E45" s="24">
        <v>12</v>
      </c>
      <c r="F45" s="24" t="s">
        <v>15</v>
      </c>
      <c r="G45" s="24" t="s">
        <v>240</v>
      </c>
      <c r="H45" s="24">
        <v>2.69</v>
      </c>
      <c r="I45" s="24">
        <v>2.99</v>
      </c>
      <c r="J45" s="24" t="s">
        <v>552</v>
      </c>
    </row>
    <row r="46" spans="1:10" ht="28.8" x14ac:dyDescent="0.3">
      <c r="A46" s="24" t="s">
        <v>47</v>
      </c>
      <c r="B46" s="24" t="s">
        <v>20</v>
      </c>
      <c r="C46" s="24">
        <v>189</v>
      </c>
      <c r="D46" s="24" t="s">
        <v>22</v>
      </c>
      <c r="E46" s="24">
        <v>13</v>
      </c>
      <c r="F46" s="24" t="s">
        <v>15</v>
      </c>
      <c r="G46" s="24" t="s">
        <v>60</v>
      </c>
      <c r="H46" s="24">
        <v>12</v>
      </c>
      <c r="I46" s="24">
        <v>13</v>
      </c>
      <c r="J46" s="24" t="s">
        <v>552</v>
      </c>
    </row>
    <row r="47" spans="1:10" ht="28.8" x14ac:dyDescent="0.3">
      <c r="A47" s="24" t="s">
        <v>47</v>
      </c>
      <c r="B47" s="24" t="s">
        <v>20</v>
      </c>
      <c r="C47" s="24">
        <v>189</v>
      </c>
      <c r="D47" s="24" t="s">
        <v>22</v>
      </c>
      <c r="E47" s="24">
        <v>13</v>
      </c>
      <c r="F47" s="24" t="s">
        <v>15</v>
      </c>
      <c r="G47" s="24" t="s">
        <v>72</v>
      </c>
      <c r="H47" s="24" t="s">
        <v>343</v>
      </c>
      <c r="I47" s="24" t="s">
        <v>470</v>
      </c>
      <c r="J47" s="24" t="s">
        <v>552</v>
      </c>
    </row>
    <row r="48" spans="1:10" ht="28.8" x14ac:dyDescent="0.3">
      <c r="A48" s="24" t="s">
        <v>47</v>
      </c>
      <c r="B48" s="24" t="s">
        <v>20</v>
      </c>
      <c r="C48" s="24">
        <v>189</v>
      </c>
      <c r="D48" s="24" t="s">
        <v>22</v>
      </c>
      <c r="E48" s="24">
        <v>13</v>
      </c>
      <c r="F48" s="24" t="s">
        <v>15</v>
      </c>
      <c r="G48" s="24" t="s">
        <v>239</v>
      </c>
      <c r="H48" s="24">
        <v>9</v>
      </c>
      <c r="I48" s="24">
        <v>4</v>
      </c>
      <c r="J48" s="24" t="s">
        <v>552</v>
      </c>
    </row>
    <row r="49" spans="1:10" ht="28.8" x14ac:dyDescent="0.3">
      <c r="A49" s="24" t="s">
        <v>47</v>
      </c>
      <c r="B49" s="24" t="s">
        <v>20</v>
      </c>
      <c r="C49" s="24">
        <v>190</v>
      </c>
      <c r="D49" s="24" t="s">
        <v>22</v>
      </c>
      <c r="E49" s="24">
        <v>14</v>
      </c>
      <c r="F49" s="24" t="s">
        <v>15</v>
      </c>
      <c r="G49" s="24" t="s">
        <v>60</v>
      </c>
      <c r="H49" s="24">
        <v>13</v>
      </c>
      <c r="I49" s="24">
        <v>14</v>
      </c>
      <c r="J49" s="24" t="s">
        <v>552</v>
      </c>
    </row>
    <row r="50" spans="1:10" ht="28.8" x14ac:dyDescent="0.3">
      <c r="A50" s="24" t="s">
        <v>47</v>
      </c>
      <c r="B50" s="24" t="s">
        <v>20</v>
      </c>
      <c r="C50" s="24">
        <v>190</v>
      </c>
      <c r="D50" s="24" t="s">
        <v>22</v>
      </c>
      <c r="E50" s="24">
        <v>14</v>
      </c>
      <c r="F50" s="24" t="s">
        <v>15</v>
      </c>
      <c r="G50" s="24" t="s">
        <v>72</v>
      </c>
      <c r="H50" s="24" t="s">
        <v>471</v>
      </c>
      <c r="I50" s="24" t="s">
        <v>343</v>
      </c>
      <c r="J50" s="24" t="s">
        <v>552</v>
      </c>
    </row>
    <row r="51" spans="1:10" ht="28.8" x14ac:dyDescent="0.3">
      <c r="A51" s="24" t="s">
        <v>47</v>
      </c>
      <c r="B51" s="24" t="s">
        <v>20</v>
      </c>
      <c r="C51" s="24">
        <v>190</v>
      </c>
      <c r="D51" s="24" t="s">
        <v>22</v>
      </c>
      <c r="E51" s="24">
        <v>14</v>
      </c>
      <c r="F51" s="24" t="s">
        <v>15</v>
      </c>
      <c r="G51" s="24" t="s">
        <v>239</v>
      </c>
      <c r="H51" s="24">
        <v>1</v>
      </c>
      <c r="I51" s="24">
        <v>9</v>
      </c>
      <c r="J51" s="24" t="s">
        <v>552</v>
      </c>
    </row>
    <row r="52" spans="1:10" ht="28.8" x14ac:dyDescent="0.3">
      <c r="A52" s="24" t="s">
        <v>47</v>
      </c>
      <c r="B52" s="24" t="s">
        <v>20</v>
      </c>
      <c r="C52" s="24">
        <v>190</v>
      </c>
      <c r="D52" s="24" t="s">
        <v>22</v>
      </c>
      <c r="E52" s="24">
        <v>14</v>
      </c>
      <c r="F52" s="24" t="s">
        <v>15</v>
      </c>
      <c r="G52" s="24" t="s">
        <v>240</v>
      </c>
      <c r="H52" s="24">
        <v>1.49</v>
      </c>
      <c r="I52" s="24">
        <v>2.69</v>
      </c>
      <c r="J52" s="24" t="s">
        <v>552</v>
      </c>
    </row>
    <row r="53" spans="1:10" ht="28.8" x14ac:dyDescent="0.3">
      <c r="A53" s="24" t="s">
        <v>47</v>
      </c>
      <c r="B53" s="24" t="s">
        <v>20</v>
      </c>
      <c r="C53" s="24">
        <v>191</v>
      </c>
      <c r="D53" s="24" t="s">
        <v>22</v>
      </c>
      <c r="E53" s="24">
        <v>15</v>
      </c>
      <c r="F53" s="24" t="s">
        <v>15</v>
      </c>
      <c r="G53" s="24" t="s">
        <v>60</v>
      </c>
      <c r="H53" s="24">
        <v>14</v>
      </c>
      <c r="I53" s="24">
        <v>15</v>
      </c>
      <c r="J53" s="24" t="s">
        <v>552</v>
      </c>
    </row>
    <row r="54" spans="1:10" ht="28.8" x14ac:dyDescent="0.3">
      <c r="A54" s="24" t="s">
        <v>47</v>
      </c>
      <c r="B54" s="24" t="s">
        <v>20</v>
      </c>
      <c r="C54" s="24">
        <v>191</v>
      </c>
      <c r="D54" s="24" t="s">
        <v>22</v>
      </c>
      <c r="E54" s="24">
        <v>15</v>
      </c>
      <c r="F54" s="24" t="s">
        <v>15</v>
      </c>
      <c r="G54" s="24" t="s">
        <v>72</v>
      </c>
      <c r="H54" s="24" t="s">
        <v>472</v>
      </c>
      <c r="I54" s="24" t="s">
        <v>471</v>
      </c>
      <c r="J54" s="24" t="s">
        <v>552</v>
      </c>
    </row>
    <row r="55" spans="1:10" ht="28.8" x14ac:dyDescent="0.3">
      <c r="A55" s="24" t="s">
        <v>47</v>
      </c>
      <c r="B55" s="24" t="s">
        <v>20</v>
      </c>
      <c r="C55" s="24">
        <v>191</v>
      </c>
      <c r="D55" s="24" t="s">
        <v>22</v>
      </c>
      <c r="E55" s="24">
        <v>15</v>
      </c>
      <c r="F55" s="24" t="s">
        <v>15</v>
      </c>
      <c r="G55" s="24" t="s">
        <v>239</v>
      </c>
      <c r="H55" s="24">
        <v>500</v>
      </c>
      <c r="I55" s="24">
        <v>1</v>
      </c>
      <c r="J55" s="24" t="s">
        <v>552</v>
      </c>
    </row>
    <row r="56" spans="1:10" ht="28.8" x14ac:dyDescent="0.3">
      <c r="A56" s="24" t="s">
        <v>47</v>
      </c>
      <c r="B56" s="24" t="s">
        <v>20</v>
      </c>
      <c r="C56" s="24">
        <v>191</v>
      </c>
      <c r="D56" s="24" t="s">
        <v>22</v>
      </c>
      <c r="E56" s="24">
        <v>15</v>
      </c>
      <c r="F56" s="24" t="s">
        <v>15</v>
      </c>
      <c r="G56" s="24" t="s">
        <v>240</v>
      </c>
      <c r="H56" s="24">
        <v>1.65</v>
      </c>
      <c r="I56" s="24">
        <v>1.49</v>
      </c>
      <c r="J56" s="24" t="s">
        <v>552</v>
      </c>
    </row>
    <row r="57" spans="1:10" ht="28.8" x14ac:dyDescent="0.3">
      <c r="A57" s="24" t="s">
        <v>47</v>
      </c>
      <c r="B57" s="24" t="s">
        <v>20</v>
      </c>
      <c r="C57" s="24">
        <v>192</v>
      </c>
      <c r="D57" s="24" t="s">
        <v>22</v>
      </c>
      <c r="E57" s="24">
        <v>16</v>
      </c>
      <c r="F57" s="24" t="s">
        <v>15</v>
      </c>
      <c r="G57" s="24" t="s">
        <v>60</v>
      </c>
      <c r="H57" s="24">
        <v>15</v>
      </c>
      <c r="I57" s="24">
        <v>16</v>
      </c>
      <c r="J57" s="24" t="s">
        <v>552</v>
      </c>
    </row>
    <row r="58" spans="1:10" ht="28.8" x14ac:dyDescent="0.3">
      <c r="A58" s="24" t="s">
        <v>47</v>
      </c>
      <c r="B58" s="24" t="s">
        <v>20</v>
      </c>
      <c r="C58" s="24">
        <v>192</v>
      </c>
      <c r="D58" s="24" t="s">
        <v>22</v>
      </c>
      <c r="E58" s="24">
        <v>16</v>
      </c>
      <c r="F58" s="24" t="s">
        <v>15</v>
      </c>
      <c r="G58" s="24" t="s">
        <v>72</v>
      </c>
      <c r="H58" s="24" t="s">
        <v>473</v>
      </c>
      <c r="I58" s="24" t="s">
        <v>472</v>
      </c>
      <c r="J58" s="24" t="s">
        <v>552</v>
      </c>
    </row>
    <row r="59" spans="1:10" ht="28.8" x14ac:dyDescent="0.3">
      <c r="A59" s="24" t="s">
        <v>47</v>
      </c>
      <c r="B59" s="24" t="s">
        <v>20</v>
      </c>
      <c r="C59" s="24">
        <v>192</v>
      </c>
      <c r="D59" s="24" t="s">
        <v>22</v>
      </c>
      <c r="E59" s="24">
        <v>16</v>
      </c>
      <c r="F59" s="24" t="s">
        <v>15</v>
      </c>
      <c r="G59" s="24" t="s">
        <v>239</v>
      </c>
      <c r="H59" s="24">
        <v>3</v>
      </c>
      <c r="I59" s="24">
        <v>500</v>
      </c>
      <c r="J59" s="24" t="s">
        <v>552</v>
      </c>
    </row>
    <row r="60" spans="1:10" ht="28.8" x14ac:dyDescent="0.3">
      <c r="A60" s="24" t="s">
        <v>47</v>
      </c>
      <c r="B60" s="24" t="s">
        <v>20</v>
      </c>
      <c r="C60" s="24">
        <v>192</v>
      </c>
      <c r="D60" s="24" t="s">
        <v>22</v>
      </c>
      <c r="E60" s="24">
        <v>16</v>
      </c>
      <c r="F60" s="24" t="s">
        <v>15</v>
      </c>
      <c r="G60" s="24" t="s">
        <v>240</v>
      </c>
      <c r="H60" s="24">
        <v>0.89</v>
      </c>
      <c r="I60" s="24">
        <v>1.65</v>
      </c>
      <c r="J60" s="24" t="s">
        <v>552</v>
      </c>
    </row>
    <row r="61" spans="1:10" ht="28.8" x14ac:dyDescent="0.3">
      <c r="A61" s="24" t="s">
        <v>47</v>
      </c>
      <c r="B61" s="24" t="s">
        <v>20</v>
      </c>
      <c r="C61" s="24">
        <v>192</v>
      </c>
      <c r="D61" s="24" t="s">
        <v>22</v>
      </c>
      <c r="E61" s="24">
        <v>16</v>
      </c>
      <c r="F61" s="24" t="s">
        <v>15</v>
      </c>
      <c r="G61" s="24" t="s">
        <v>244</v>
      </c>
      <c r="H61" s="24">
        <v>0.09</v>
      </c>
      <c r="I61" s="24"/>
      <c r="J61" s="24" t="s">
        <v>552</v>
      </c>
    </row>
    <row r="62" spans="1:10" ht="28.8" x14ac:dyDescent="0.3">
      <c r="A62" s="24" t="s">
        <v>47</v>
      </c>
      <c r="B62" s="24" t="s">
        <v>20</v>
      </c>
      <c r="C62" s="24">
        <v>193</v>
      </c>
      <c r="D62" s="24" t="s">
        <v>22</v>
      </c>
      <c r="E62" s="24">
        <v>17</v>
      </c>
      <c r="F62" s="24" t="s">
        <v>15</v>
      </c>
      <c r="G62" s="24" t="s">
        <v>60</v>
      </c>
      <c r="H62" s="24">
        <v>16</v>
      </c>
      <c r="I62" s="24">
        <v>17</v>
      </c>
      <c r="J62" s="24" t="s">
        <v>552</v>
      </c>
    </row>
    <row r="63" spans="1:10" ht="28.8" x14ac:dyDescent="0.3">
      <c r="A63" s="24" t="s">
        <v>47</v>
      </c>
      <c r="B63" s="24" t="s">
        <v>20</v>
      </c>
      <c r="C63" s="24">
        <v>193</v>
      </c>
      <c r="D63" s="24" t="s">
        <v>22</v>
      </c>
      <c r="E63" s="24">
        <v>17</v>
      </c>
      <c r="F63" s="24" t="s">
        <v>15</v>
      </c>
      <c r="G63" s="24" t="s">
        <v>72</v>
      </c>
      <c r="H63" s="24" t="s">
        <v>257</v>
      </c>
      <c r="I63" s="24" t="s">
        <v>473</v>
      </c>
      <c r="J63" s="24" t="s">
        <v>552</v>
      </c>
    </row>
    <row r="64" spans="1:10" ht="28.8" x14ac:dyDescent="0.3">
      <c r="A64" s="24" t="s">
        <v>47</v>
      </c>
      <c r="B64" s="24" t="s">
        <v>20</v>
      </c>
      <c r="C64" s="24">
        <v>193</v>
      </c>
      <c r="D64" s="24" t="s">
        <v>22</v>
      </c>
      <c r="E64" s="24">
        <v>17</v>
      </c>
      <c r="F64" s="24" t="s">
        <v>15</v>
      </c>
      <c r="G64" s="24" t="s">
        <v>238</v>
      </c>
      <c r="H64" s="24">
        <v>2</v>
      </c>
      <c r="I64" s="24">
        <v>1</v>
      </c>
      <c r="J64" s="24" t="s">
        <v>552</v>
      </c>
    </row>
    <row r="65" spans="1:10" ht="28.8" x14ac:dyDescent="0.3">
      <c r="A65" s="24" t="s">
        <v>47</v>
      </c>
      <c r="B65" s="24" t="s">
        <v>20</v>
      </c>
      <c r="C65" s="24">
        <v>193</v>
      </c>
      <c r="D65" s="24" t="s">
        <v>22</v>
      </c>
      <c r="E65" s="24">
        <v>17</v>
      </c>
      <c r="F65" s="24" t="s">
        <v>15</v>
      </c>
      <c r="G65" s="24" t="s">
        <v>239</v>
      </c>
      <c r="H65" s="24">
        <v>1</v>
      </c>
      <c r="I65" s="24">
        <v>3</v>
      </c>
      <c r="J65" s="24" t="s">
        <v>552</v>
      </c>
    </row>
    <row r="66" spans="1:10" ht="28.8" x14ac:dyDescent="0.3">
      <c r="A66" s="24" t="s">
        <v>47</v>
      </c>
      <c r="B66" s="24" t="s">
        <v>20</v>
      </c>
      <c r="C66" s="24">
        <v>193</v>
      </c>
      <c r="D66" s="24" t="s">
        <v>22</v>
      </c>
      <c r="E66" s="24">
        <v>17</v>
      </c>
      <c r="F66" s="24" t="s">
        <v>15</v>
      </c>
      <c r="G66" s="24" t="s">
        <v>240</v>
      </c>
      <c r="H66" s="24">
        <v>0.65</v>
      </c>
      <c r="I66" s="24">
        <v>0.89</v>
      </c>
      <c r="J66" s="24" t="s">
        <v>552</v>
      </c>
    </row>
    <row r="67" spans="1:10" ht="28.8" x14ac:dyDescent="0.3">
      <c r="A67" s="24" t="s">
        <v>47</v>
      </c>
      <c r="B67" s="24" t="s">
        <v>20</v>
      </c>
      <c r="C67" s="24">
        <v>193</v>
      </c>
      <c r="D67" s="24" t="s">
        <v>22</v>
      </c>
      <c r="E67" s="24">
        <v>17</v>
      </c>
      <c r="F67" s="24" t="s">
        <v>15</v>
      </c>
      <c r="G67" s="24" t="s">
        <v>244</v>
      </c>
      <c r="H67" s="24"/>
      <c r="I67" s="24">
        <v>0.09</v>
      </c>
      <c r="J67" s="24" t="s">
        <v>552</v>
      </c>
    </row>
    <row r="68" spans="1:10" ht="28.8" x14ac:dyDescent="0.3">
      <c r="A68" s="24" t="s">
        <v>47</v>
      </c>
      <c r="B68" s="24" t="s">
        <v>20</v>
      </c>
      <c r="C68" s="24">
        <v>194</v>
      </c>
      <c r="D68" s="24" t="s">
        <v>22</v>
      </c>
      <c r="E68" s="24">
        <v>18</v>
      </c>
      <c r="F68" s="24" t="s">
        <v>15</v>
      </c>
      <c r="G68" s="24" t="s">
        <v>60</v>
      </c>
      <c r="H68" s="24">
        <v>17</v>
      </c>
      <c r="I68" s="24">
        <v>18</v>
      </c>
      <c r="J68" s="24" t="s">
        <v>552</v>
      </c>
    </row>
    <row r="69" spans="1:10" ht="28.8" x14ac:dyDescent="0.3">
      <c r="A69" s="24" t="s">
        <v>47</v>
      </c>
      <c r="B69" s="24" t="s">
        <v>20</v>
      </c>
      <c r="C69" s="24">
        <v>194</v>
      </c>
      <c r="D69" s="24" t="s">
        <v>22</v>
      </c>
      <c r="E69" s="24">
        <v>18</v>
      </c>
      <c r="F69" s="24" t="s">
        <v>15</v>
      </c>
      <c r="G69" s="24" t="s">
        <v>72</v>
      </c>
      <c r="H69" s="24" t="s">
        <v>474</v>
      </c>
      <c r="I69" s="24" t="s">
        <v>257</v>
      </c>
      <c r="J69" s="24" t="s">
        <v>552</v>
      </c>
    </row>
    <row r="70" spans="1:10" ht="28.8" x14ac:dyDescent="0.3">
      <c r="A70" s="24" t="s">
        <v>47</v>
      </c>
      <c r="B70" s="24" t="s">
        <v>20</v>
      </c>
      <c r="C70" s="24">
        <v>194</v>
      </c>
      <c r="D70" s="24" t="s">
        <v>22</v>
      </c>
      <c r="E70" s="24">
        <v>18</v>
      </c>
      <c r="F70" s="24" t="s">
        <v>15</v>
      </c>
      <c r="G70" s="24" t="s">
        <v>238</v>
      </c>
      <c r="H70" s="24">
        <v>1</v>
      </c>
      <c r="I70" s="24">
        <v>2</v>
      </c>
      <c r="J70" s="24" t="s">
        <v>552</v>
      </c>
    </row>
    <row r="71" spans="1:10" ht="28.8" x14ac:dyDescent="0.3">
      <c r="A71" s="24" t="s">
        <v>47</v>
      </c>
      <c r="B71" s="24" t="s">
        <v>20</v>
      </c>
      <c r="C71" s="24">
        <v>194</v>
      </c>
      <c r="D71" s="24" t="s">
        <v>22</v>
      </c>
      <c r="E71" s="24">
        <v>18</v>
      </c>
      <c r="F71" s="24" t="s">
        <v>15</v>
      </c>
      <c r="G71" s="24" t="s">
        <v>239</v>
      </c>
      <c r="H71" s="24">
        <v>400</v>
      </c>
      <c r="I71" s="24">
        <v>1</v>
      </c>
      <c r="J71" s="24" t="s">
        <v>552</v>
      </c>
    </row>
    <row r="72" spans="1:10" ht="28.8" x14ac:dyDescent="0.3">
      <c r="A72" s="24" t="s">
        <v>47</v>
      </c>
      <c r="B72" s="24" t="s">
        <v>20</v>
      </c>
      <c r="C72" s="24">
        <v>194</v>
      </c>
      <c r="D72" s="24" t="s">
        <v>22</v>
      </c>
      <c r="E72" s="24">
        <v>18</v>
      </c>
      <c r="F72" s="24" t="s">
        <v>15</v>
      </c>
      <c r="G72" s="24" t="s">
        <v>240</v>
      </c>
      <c r="H72" s="24">
        <v>2.29</v>
      </c>
      <c r="I72" s="24">
        <v>0.65</v>
      </c>
      <c r="J72" s="24" t="s">
        <v>552</v>
      </c>
    </row>
    <row r="73" spans="1:10" ht="28.8" x14ac:dyDescent="0.3">
      <c r="A73" s="24" t="s">
        <v>47</v>
      </c>
      <c r="B73" s="24" t="s">
        <v>20</v>
      </c>
      <c r="C73" s="24">
        <v>195</v>
      </c>
      <c r="D73" s="24" t="s">
        <v>22</v>
      </c>
      <c r="E73" s="24">
        <v>19</v>
      </c>
      <c r="F73" s="24" t="s">
        <v>15</v>
      </c>
      <c r="G73" s="24" t="s">
        <v>60</v>
      </c>
      <c r="H73" s="24">
        <v>18</v>
      </c>
      <c r="I73" s="24">
        <v>19</v>
      </c>
      <c r="J73" s="24" t="s">
        <v>552</v>
      </c>
    </row>
    <row r="74" spans="1:10" ht="28.8" x14ac:dyDescent="0.3">
      <c r="A74" s="24" t="s">
        <v>47</v>
      </c>
      <c r="B74" s="24" t="s">
        <v>20</v>
      </c>
      <c r="C74" s="24">
        <v>195</v>
      </c>
      <c r="D74" s="24" t="s">
        <v>22</v>
      </c>
      <c r="E74" s="24">
        <v>19</v>
      </c>
      <c r="F74" s="24" t="s">
        <v>15</v>
      </c>
      <c r="G74" s="24" t="s">
        <v>72</v>
      </c>
      <c r="H74" s="24" t="s">
        <v>475</v>
      </c>
      <c r="I74" s="24" t="s">
        <v>474</v>
      </c>
      <c r="J74" s="24" t="s">
        <v>552</v>
      </c>
    </row>
    <row r="75" spans="1:10" ht="28.8" x14ac:dyDescent="0.3">
      <c r="A75" s="24" t="s">
        <v>47</v>
      </c>
      <c r="B75" s="24" t="s">
        <v>20</v>
      </c>
      <c r="C75" s="24">
        <v>195</v>
      </c>
      <c r="D75" s="24" t="s">
        <v>22</v>
      </c>
      <c r="E75" s="24">
        <v>19</v>
      </c>
      <c r="F75" s="24" t="s">
        <v>15</v>
      </c>
      <c r="G75" s="24" t="s">
        <v>240</v>
      </c>
      <c r="H75" s="24">
        <v>2.39</v>
      </c>
      <c r="I75" s="24">
        <v>2.29</v>
      </c>
      <c r="J75" s="24" t="s">
        <v>552</v>
      </c>
    </row>
    <row r="76" spans="1:10" ht="28.8" x14ac:dyDescent="0.3">
      <c r="A76" s="24" t="s">
        <v>47</v>
      </c>
      <c r="B76" s="24" t="s">
        <v>20</v>
      </c>
      <c r="C76" s="24">
        <v>196</v>
      </c>
      <c r="D76" s="24" t="s">
        <v>22</v>
      </c>
      <c r="E76" s="24">
        <v>20</v>
      </c>
      <c r="F76" s="24" t="s">
        <v>15</v>
      </c>
      <c r="G76" s="24" t="s">
        <v>60</v>
      </c>
      <c r="H76" s="24">
        <v>19</v>
      </c>
      <c r="I76" s="24">
        <v>20</v>
      </c>
      <c r="J76" s="24" t="s">
        <v>552</v>
      </c>
    </row>
    <row r="77" spans="1:10" ht="28.8" x14ac:dyDescent="0.3">
      <c r="A77" s="24" t="s">
        <v>47</v>
      </c>
      <c r="B77" s="24" t="s">
        <v>20</v>
      </c>
      <c r="C77" s="24">
        <v>196</v>
      </c>
      <c r="D77" s="24" t="s">
        <v>22</v>
      </c>
      <c r="E77" s="24">
        <v>20</v>
      </c>
      <c r="F77" s="24" t="s">
        <v>15</v>
      </c>
      <c r="G77" s="24" t="s">
        <v>72</v>
      </c>
      <c r="H77" s="24" t="s">
        <v>476</v>
      </c>
      <c r="I77" s="24" t="s">
        <v>475</v>
      </c>
      <c r="J77" s="24" t="s">
        <v>552</v>
      </c>
    </row>
    <row r="78" spans="1:10" ht="28.8" x14ac:dyDescent="0.3">
      <c r="A78" s="24" t="s">
        <v>47</v>
      </c>
      <c r="B78" s="24" t="s">
        <v>20</v>
      </c>
      <c r="C78" s="24">
        <v>196</v>
      </c>
      <c r="D78" s="24" t="s">
        <v>22</v>
      </c>
      <c r="E78" s="24">
        <v>20</v>
      </c>
      <c r="F78" s="24" t="s">
        <v>15</v>
      </c>
      <c r="G78" s="24" t="s">
        <v>239</v>
      </c>
      <c r="H78" s="24">
        <v>140</v>
      </c>
      <c r="I78" s="24">
        <v>400</v>
      </c>
      <c r="J78" s="24" t="s">
        <v>552</v>
      </c>
    </row>
    <row r="79" spans="1:10" ht="28.8" x14ac:dyDescent="0.3">
      <c r="A79" s="24" t="s">
        <v>47</v>
      </c>
      <c r="B79" s="24" t="s">
        <v>20</v>
      </c>
      <c r="C79" s="24">
        <v>196</v>
      </c>
      <c r="D79" s="24" t="s">
        <v>22</v>
      </c>
      <c r="E79" s="24">
        <v>20</v>
      </c>
      <c r="F79" s="24" t="s">
        <v>15</v>
      </c>
      <c r="G79" s="24" t="s">
        <v>240</v>
      </c>
      <c r="H79" s="24">
        <v>2.29</v>
      </c>
      <c r="I79" s="24">
        <v>2.39</v>
      </c>
      <c r="J79" s="24" t="s">
        <v>552</v>
      </c>
    </row>
    <row r="80" spans="1:10" ht="28.8" x14ac:dyDescent="0.3">
      <c r="A80" s="24" t="s">
        <v>47</v>
      </c>
      <c r="B80" s="24" t="s">
        <v>20</v>
      </c>
      <c r="C80" s="24">
        <v>197</v>
      </c>
      <c r="D80" s="24" t="s">
        <v>22</v>
      </c>
      <c r="E80" s="24">
        <v>21</v>
      </c>
      <c r="F80" s="24" t="s">
        <v>15</v>
      </c>
      <c r="G80" s="24" t="s">
        <v>60</v>
      </c>
      <c r="H80" s="24">
        <v>20</v>
      </c>
      <c r="I80" s="24">
        <v>21</v>
      </c>
      <c r="J80" s="24" t="s">
        <v>552</v>
      </c>
    </row>
    <row r="81" spans="1:10" ht="28.8" x14ac:dyDescent="0.3">
      <c r="A81" s="24" t="s">
        <v>47</v>
      </c>
      <c r="B81" s="24" t="s">
        <v>20</v>
      </c>
      <c r="C81" s="24">
        <v>197</v>
      </c>
      <c r="D81" s="24" t="s">
        <v>22</v>
      </c>
      <c r="E81" s="24">
        <v>21</v>
      </c>
      <c r="F81" s="24" t="s">
        <v>15</v>
      </c>
      <c r="G81" s="24" t="s">
        <v>72</v>
      </c>
      <c r="H81" s="24" t="s">
        <v>477</v>
      </c>
      <c r="I81" s="24" t="s">
        <v>476</v>
      </c>
      <c r="J81" s="24" t="s">
        <v>552</v>
      </c>
    </row>
    <row r="82" spans="1:10" ht="28.8" x14ac:dyDescent="0.3">
      <c r="A82" s="24" t="s">
        <v>47</v>
      </c>
      <c r="B82" s="24" t="s">
        <v>20</v>
      </c>
      <c r="C82" s="24">
        <v>197</v>
      </c>
      <c r="D82" s="24" t="s">
        <v>22</v>
      </c>
      <c r="E82" s="24">
        <v>21</v>
      </c>
      <c r="F82" s="24" t="s">
        <v>15</v>
      </c>
      <c r="G82" s="24" t="s">
        <v>239</v>
      </c>
      <c r="H82" s="24">
        <v>70</v>
      </c>
      <c r="I82" s="24">
        <v>140</v>
      </c>
      <c r="J82" s="24" t="s">
        <v>552</v>
      </c>
    </row>
    <row r="83" spans="1:10" ht="28.8" x14ac:dyDescent="0.3">
      <c r="A83" s="24" t="s">
        <v>47</v>
      </c>
      <c r="B83" s="24" t="s">
        <v>20</v>
      </c>
      <c r="C83" s="24">
        <v>197</v>
      </c>
      <c r="D83" s="24" t="s">
        <v>22</v>
      </c>
      <c r="E83" s="24">
        <v>21</v>
      </c>
      <c r="F83" s="24" t="s">
        <v>15</v>
      </c>
      <c r="G83" s="24" t="s">
        <v>240</v>
      </c>
      <c r="H83" s="24">
        <v>0.49</v>
      </c>
      <c r="I83" s="24">
        <v>2.29</v>
      </c>
      <c r="J83" s="24" t="s">
        <v>552</v>
      </c>
    </row>
    <row r="84" spans="1:10" ht="28.8" x14ac:dyDescent="0.3">
      <c r="A84" s="24" t="s">
        <v>47</v>
      </c>
      <c r="B84" s="24" t="s">
        <v>20</v>
      </c>
      <c r="C84" s="24">
        <v>198</v>
      </c>
      <c r="D84" s="24" t="s">
        <v>22</v>
      </c>
      <c r="E84" s="24">
        <v>22</v>
      </c>
      <c r="F84" s="24" t="s">
        <v>15</v>
      </c>
      <c r="G84" s="24" t="s">
        <v>60</v>
      </c>
      <c r="H84" s="24">
        <v>21</v>
      </c>
      <c r="I84" s="24">
        <v>22</v>
      </c>
      <c r="J84" s="24" t="s">
        <v>552</v>
      </c>
    </row>
    <row r="85" spans="1:10" ht="28.8" x14ac:dyDescent="0.3">
      <c r="A85" s="24" t="s">
        <v>47</v>
      </c>
      <c r="B85" s="24" t="s">
        <v>20</v>
      </c>
      <c r="C85" s="24">
        <v>198</v>
      </c>
      <c r="D85" s="24" t="s">
        <v>22</v>
      </c>
      <c r="E85" s="24">
        <v>22</v>
      </c>
      <c r="F85" s="24" t="s">
        <v>15</v>
      </c>
      <c r="G85" s="24" t="s">
        <v>72</v>
      </c>
      <c r="H85" s="24" t="s">
        <v>478</v>
      </c>
      <c r="I85" s="24" t="s">
        <v>477</v>
      </c>
      <c r="J85" s="24" t="s">
        <v>552</v>
      </c>
    </row>
    <row r="86" spans="1:10" ht="28.8" x14ac:dyDescent="0.3">
      <c r="A86" s="24" t="s">
        <v>47</v>
      </c>
      <c r="B86" s="24" t="s">
        <v>20</v>
      </c>
      <c r="C86" s="24">
        <v>198</v>
      </c>
      <c r="D86" s="24" t="s">
        <v>22</v>
      </c>
      <c r="E86" s="24">
        <v>22</v>
      </c>
      <c r="F86" s="24" t="s">
        <v>15</v>
      </c>
      <c r="G86" s="24" t="s">
        <v>239</v>
      </c>
      <c r="H86" s="24">
        <v>8</v>
      </c>
      <c r="I86" s="24">
        <v>70</v>
      </c>
      <c r="J86" s="24" t="s">
        <v>552</v>
      </c>
    </row>
    <row r="87" spans="1:10" ht="28.8" x14ac:dyDescent="0.3">
      <c r="A87" s="24" t="s">
        <v>47</v>
      </c>
      <c r="B87" s="24" t="s">
        <v>20</v>
      </c>
      <c r="C87" s="24">
        <v>198</v>
      </c>
      <c r="D87" s="24" t="s">
        <v>22</v>
      </c>
      <c r="E87" s="24">
        <v>22</v>
      </c>
      <c r="F87" s="24" t="s">
        <v>15</v>
      </c>
      <c r="G87" s="24" t="s">
        <v>240</v>
      </c>
      <c r="H87" s="24">
        <v>2.65</v>
      </c>
      <c r="I87" s="24">
        <v>0.49</v>
      </c>
      <c r="J87" s="24" t="s">
        <v>552</v>
      </c>
    </row>
    <row r="88" spans="1:10" ht="28.8" x14ac:dyDescent="0.3">
      <c r="A88" s="24" t="s">
        <v>47</v>
      </c>
      <c r="B88" s="24" t="s">
        <v>20</v>
      </c>
      <c r="C88" s="24">
        <v>199</v>
      </c>
      <c r="D88" s="24" t="s">
        <v>22</v>
      </c>
      <c r="E88" s="24">
        <v>23</v>
      </c>
      <c r="F88" s="24" t="s">
        <v>15</v>
      </c>
      <c r="G88" s="24" t="s">
        <v>60</v>
      </c>
      <c r="H88" s="24">
        <v>22</v>
      </c>
      <c r="I88" s="24">
        <v>23</v>
      </c>
      <c r="J88" s="24" t="s">
        <v>552</v>
      </c>
    </row>
    <row r="89" spans="1:10" ht="28.8" x14ac:dyDescent="0.3">
      <c r="A89" s="24" t="s">
        <v>47</v>
      </c>
      <c r="B89" s="24" t="s">
        <v>20</v>
      </c>
      <c r="C89" s="24">
        <v>199</v>
      </c>
      <c r="D89" s="24" t="s">
        <v>22</v>
      </c>
      <c r="E89" s="24">
        <v>23</v>
      </c>
      <c r="F89" s="24" t="s">
        <v>15</v>
      </c>
      <c r="G89" s="24" t="s">
        <v>72</v>
      </c>
      <c r="H89" s="24" t="s">
        <v>554</v>
      </c>
      <c r="I89" s="24" t="s">
        <v>478</v>
      </c>
      <c r="J89" s="24" t="s">
        <v>552</v>
      </c>
    </row>
    <row r="90" spans="1:10" ht="28.8" x14ac:dyDescent="0.3">
      <c r="A90" s="24" t="s">
        <v>47</v>
      </c>
      <c r="B90" s="24" t="s">
        <v>20</v>
      </c>
      <c r="C90" s="24">
        <v>199</v>
      </c>
      <c r="D90" s="24" t="s">
        <v>22</v>
      </c>
      <c r="E90" s="24">
        <v>23</v>
      </c>
      <c r="F90" s="24" t="s">
        <v>15</v>
      </c>
      <c r="G90" s="24" t="s">
        <v>238</v>
      </c>
      <c r="H90" s="24">
        <v>2</v>
      </c>
      <c r="I90" s="24">
        <v>1</v>
      </c>
      <c r="J90" s="24" t="s">
        <v>552</v>
      </c>
    </row>
    <row r="91" spans="1:10" ht="28.8" x14ac:dyDescent="0.3">
      <c r="A91" s="24" t="s">
        <v>47</v>
      </c>
      <c r="B91" s="24" t="s">
        <v>20</v>
      </c>
      <c r="C91" s="24">
        <v>199</v>
      </c>
      <c r="D91" s="24" t="s">
        <v>22</v>
      </c>
      <c r="E91" s="24">
        <v>23</v>
      </c>
      <c r="F91" s="24" t="s">
        <v>15</v>
      </c>
      <c r="G91" s="24" t="s">
        <v>239</v>
      </c>
      <c r="H91" s="24">
        <v>300</v>
      </c>
      <c r="I91" s="24">
        <v>8</v>
      </c>
      <c r="J91" s="24" t="s">
        <v>552</v>
      </c>
    </row>
    <row r="92" spans="1:10" ht="28.8" x14ac:dyDescent="0.3">
      <c r="A92" s="24" t="s">
        <v>47</v>
      </c>
      <c r="B92" s="24" t="s">
        <v>20</v>
      </c>
      <c r="C92" s="24">
        <v>199</v>
      </c>
      <c r="D92" s="24" t="s">
        <v>22</v>
      </c>
      <c r="E92" s="24">
        <v>23</v>
      </c>
      <c r="F92" s="24" t="s">
        <v>15</v>
      </c>
      <c r="G92" s="24" t="s">
        <v>240</v>
      </c>
      <c r="H92" s="24">
        <v>3.99</v>
      </c>
      <c r="I92" s="24">
        <v>2.65</v>
      </c>
      <c r="J92" s="24" t="s">
        <v>552</v>
      </c>
    </row>
    <row r="93" spans="1:10" ht="28.8" x14ac:dyDescent="0.3">
      <c r="A93" s="24" t="s">
        <v>47</v>
      </c>
      <c r="B93" s="24" t="s">
        <v>20</v>
      </c>
      <c r="C93" s="24">
        <v>199</v>
      </c>
      <c r="D93" s="24" t="s">
        <v>22</v>
      </c>
      <c r="E93" s="24">
        <v>23</v>
      </c>
      <c r="F93" s="24" t="s">
        <v>15</v>
      </c>
      <c r="G93" s="24" t="s">
        <v>244</v>
      </c>
      <c r="H93" s="24">
        <v>0.2</v>
      </c>
      <c r="I93" s="24"/>
      <c r="J93" s="24" t="s">
        <v>552</v>
      </c>
    </row>
    <row r="94" spans="1:10" ht="28.8" x14ac:dyDescent="0.3">
      <c r="A94" s="24" t="s">
        <v>47</v>
      </c>
      <c r="B94" s="24" t="s">
        <v>20</v>
      </c>
      <c r="C94" s="24">
        <v>200</v>
      </c>
      <c r="D94" s="24" t="s">
        <v>22</v>
      </c>
      <c r="E94" s="24">
        <v>24</v>
      </c>
      <c r="F94" s="24" t="s">
        <v>15</v>
      </c>
      <c r="G94" s="24" t="s">
        <v>60</v>
      </c>
      <c r="H94" s="24">
        <v>23</v>
      </c>
      <c r="I94" s="24">
        <v>24</v>
      </c>
      <c r="J94" s="24" t="s">
        <v>552</v>
      </c>
    </row>
    <row r="95" spans="1:10" ht="28.8" x14ac:dyDescent="0.3">
      <c r="A95" s="24" t="s">
        <v>47</v>
      </c>
      <c r="B95" s="24" t="s">
        <v>20</v>
      </c>
      <c r="C95" s="24">
        <v>200</v>
      </c>
      <c r="D95" s="24" t="s">
        <v>22</v>
      </c>
      <c r="E95" s="24">
        <v>24</v>
      </c>
      <c r="F95" s="24" t="s">
        <v>15</v>
      </c>
      <c r="G95" s="24" t="s">
        <v>72</v>
      </c>
      <c r="H95" s="24" t="s">
        <v>329</v>
      </c>
      <c r="I95" s="24" t="s">
        <v>479</v>
      </c>
      <c r="J95" s="24" t="s">
        <v>552</v>
      </c>
    </row>
    <row r="96" spans="1:10" ht="28.8" x14ac:dyDescent="0.3">
      <c r="A96" s="24" t="s">
        <v>47</v>
      </c>
      <c r="B96" s="24" t="s">
        <v>20</v>
      </c>
      <c r="C96" s="24">
        <v>200</v>
      </c>
      <c r="D96" s="24" t="s">
        <v>22</v>
      </c>
      <c r="E96" s="24">
        <v>24</v>
      </c>
      <c r="F96" s="24" t="s">
        <v>15</v>
      </c>
      <c r="G96" s="24" t="s">
        <v>238</v>
      </c>
      <c r="H96" s="24">
        <v>1</v>
      </c>
      <c r="I96" s="24">
        <v>2</v>
      </c>
      <c r="J96" s="24" t="s">
        <v>552</v>
      </c>
    </row>
    <row r="97" spans="1:10" ht="28.8" x14ac:dyDescent="0.3">
      <c r="A97" s="24" t="s">
        <v>47</v>
      </c>
      <c r="B97" s="24" t="s">
        <v>20</v>
      </c>
      <c r="C97" s="24">
        <v>200</v>
      </c>
      <c r="D97" s="24" t="s">
        <v>22</v>
      </c>
      <c r="E97" s="24">
        <v>24</v>
      </c>
      <c r="F97" s="24" t="s">
        <v>15</v>
      </c>
      <c r="G97" s="24" t="s">
        <v>239</v>
      </c>
      <c r="H97" s="24">
        <v>400</v>
      </c>
      <c r="I97" s="24">
        <v>300</v>
      </c>
      <c r="J97" s="24" t="s">
        <v>552</v>
      </c>
    </row>
    <row r="98" spans="1:10" ht="28.8" x14ac:dyDescent="0.3">
      <c r="A98" s="24" t="s">
        <v>47</v>
      </c>
      <c r="B98" s="24" t="s">
        <v>20</v>
      </c>
      <c r="C98" s="24">
        <v>200</v>
      </c>
      <c r="D98" s="24" t="s">
        <v>22</v>
      </c>
      <c r="E98" s="24">
        <v>24</v>
      </c>
      <c r="F98" s="24" t="s">
        <v>15</v>
      </c>
      <c r="G98" s="24" t="s">
        <v>240</v>
      </c>
      <c r="H98" s="24">
        <v>2.4900000000000002</v>
      </c>
      <c r="I98" s="24">
        <v>3.99</v>
      </c>
      <c r="J98" s="24" t="s">
        <v>552</v>
      </c>
    </row>
    <row r="99" spans="1:10" ht="28.8" x14ac:dyDescent="0.3">
      <c r="A99" s="24" t="s">
        <v>47</v>
      </c>
      <c r="B99" s="24" t="s">
        <v>20</v>
      </c>
      <c r="C99" s="24">
        <v>200</v>
      </c>
      <c r="D99" s="24" t="s">
        <v>22</v>
      </c>
      <c r="E99" s="24">
        <v>24</v>
      </c>
      <c r="F99" s="24" t="s">
        <v>15</v>
      </c>
      <c r="G99" s="24" t="s">
        <v>244</v>
      </c>
      <c r="H99" s="24">
        <v>0.49</v>
      </c>
      <c r="I99" s="24">
        <v>0.2</v>
      </c>
      <c r="J99" s="24" t="s">
        <v>552</v>
      </c>
    </row>
    <row r="100" spans="1:10" ht="28.8" x14ac:dyDescent="0.3">
      <c r="A100" s="24" t="s">
        <v>47</v>
      </c>
      <c r="B100" s="24" t="s">
        <v>20</v>
      </c>
      <c r="C100" s="24">
        <v>201</v>
      </c>
      <c r="D100" s="24" t="s">
        <v>22</v>
      </c>
      <c r="E100" s="24">
        <v>25</v>
      </c>
      <c r="F100" s="24" t="s">
        <v>15</v>
      </c>
      <c r="G100" s="24" t="s">
        <v>60</v>
      </c>
      <c r="H100" s="24">
        <v>24</v>
      </c>
      <c r="I100" s="24">
        <v>25</v>
      </c>
      <c r="J100" s="24" t="s">
        <v>552</v>
      </c>
    </row>
    <row r="101" spans="1:10" ht="28.8" x14ac:dyDescent="0.3">
      <c r="A101" s="24" t="s">
        <v>47</v>
      </c>
      <c r="B101" s="24" t="s">
        <v>20</v>
      </c>
      <c r="C101" s="24">
        <v>201</v>
      </c>
      <c r="D101" s="24" t="s">
        <v>22</v>
      </c>
      <c r="E101" s="24">
        <v>25</v>
      </c>
      <c r="F101" s="24" t="s">
        <v>15</v>
      </c>
      <c r="G101" s="24" t="s">
        <v>72</v>
      </c>
      <c r="H101" s="24" t="s">
        <v>480</v>
      </c>
      <c r="I101" s="24" t="s">
        <v>329</v>
      </c>
      <c r="J101" s="24" t="s">
        <v>552</v>
      </c>
    </row>
    <row r="102" spans="1:10" ht="28.8" x14ac:dyDescent="0.3">
      <c r="A102" s="24" t="s">
        <v>47</v>
      </c>
      <c r="B102" s="24" t="s">
        <v>20</v>
      </c>
      <c r="C102" s="24">
        <v>201</v>
      </c>
      <c r="D102" s="24" t="s">
        <v>22</v>
      </c>
      <c r="E102" s="24">
        <v>25</v>
      </c>
      <c r="F102" s="24" t="s">
        <v>15</v>
      </c>
      <c r="G102" s="24" t="s">
        <v>239</v>
      </c>
      <c r="H102" s="24">
        <v>28</v>
      </c>
      <c r="I102" s="24">
        <v>400</v>
      </c>
      <c r="J102" s="24" t="s">
        <v>552</v>
      </c>
    </row>
    <row r="103" spans="1:10" ht="28.8" x14ac:dyDescent="0.3">
      <c r="A103" s="24" t="s">
        <v>47</v>
      </c>
      <c r="B103" s="24" t="s">
        <v>20</v>
      </c>
      <c r="C103" s="24">
        <v>201</v>
      </c>
      <c r="D103" s="24" t="s">
        <v>22</v>
      </c>
      <c r="E103" s="24">
        <v>25</v>
      </c>
      <c r="F103" s="24" t="s">
        <v>15</v>
      </c>
      <c r="G103" s="24" t="s">
        <v>240</v>
      </c>
      <c r="H103" s="24">
        <v>0.39</v>
      </c>
      <c r="I103" s="24">
        <v>2.4900000000000002</v>
      </c>
      <c r="J103" s="24" t="s">
        <v>552</v>
      </c>
    </row>
    <row r="104" spans="1:10" ht="28.8" x14ac:dyDescent="0.3">
      <c r="A104" s="24" t="s">
        <v>47</v>
      </c>
      <c r="B104" s="24" t="s">
        <v>20</v>
      </c>
      <c r="C104" s="24">
        <v>201</v>
      </c>
      <c r="D104" s="24" t="s">
        <v>22</v>
      </c>
      <c r="E104" s="24">
        <v>25</v>
      </c>
      <c r="F104" s="24" t="s">
        <v>15</v>
      </c>
      <c r="G104" s="24" t="s">
        <v>244</v>
      </c>
      <c r="H104" s="24"/>
      <c r="I104" s="24">
        <v>0.49</v>
      </c>
      <c r="J104" s="24" t="s">
        <v>552</v>
      </c>
    </row>
    <row r="105" spans="1:10" ht="28.8" x14ac:dyDescent="0.3">
      <c r="A105" s="24" t="s">
        <v>47</v>
      </c>
      <c r="B105" s="24" t="s">
        <v>20</v>
      </c>
      <c r="C105" s="24">
        <v>202</v>
      </c>
      <c r="D105" s="24" t="s">
        <v>22</v>
      </c>
      <c r="E105" s="24">
        <v>26</v>
      </c>
      <c r="F105" s="24" t="s">
        <v>15</v>
      </c>
      <c r="G105" s="24" t="s">
        <v>60</v>
      </c>
      <c r="H105" s="24">
        <v>25</v>
      </c>
      <c r="I105" s="24">
        <v>26</v>
      </c>
      <c r="J105" s="24" t="s">
        <v>552</v>
      </c>
    </row>
    <row r="106" spans="1:10" ht="28.8" x14ac:dyDescent="0.3">
      <c r="A106" s="24" t="s">
        <v>47</v>
      </c>
      <c r="B106" s="24" t="s">
        <v>20</v>
      </c>
      <c r="C106" s="24">
        <v>202</v>
      </c>
      <c r="D106" s="24" t="s">
        <v>22</v>
      </c>
      <c r="E106" s="24">
        <v>26</v>
      </c>
      <c r="F106" s="24" t="s">
        <v>15</v>
      </c>
      <c r="G106" s="24" t="s">
        <v>72</v>
      </c>
      <c r="H106" s="24" t="s">
        <v>481</v>
      </c>
      <c r="I106" s="24" t="s">
        <v>480</v>
      </c>
      <c r="J106" s="24" t="s">
        <v>552</v>
      </c>
    </row>
    <row r="107" spans="1:10" ht="28.8" x14ac:dyDescent="0.3">
      <c r="A107" s="24" t="s">
        <v>47</v>
      </c>
      <c r="B107" s="24" t="s">
        <v>20</v>
      </c>
      <c r="C107" s="24">
        <v>202</v>
      </c>
      <c r="D107" s="24" t="s">
        <v>22</v>
      </c>
      <c r="E107" s="24">
        <v>26</v>
      </c>
      <c r="F107" s="24" t="s">
        <v>15</v>
      </c>
      <c r="G107" s="24" t="s">
        <v>239</v>
      </c>
      <c r="H107" s="24">
        <v>125</v>
      </c>
      <c r="I107" s="24">
        <v>28</v>
      </c>
      <c r="J107" s="24" t="s">
        <v>552</v>
      </c>
    </row>
    <row r="108" spans="1:10" ht="28.8" x14ac:dyDescent="0.3">
      <c r="A108" s="24" t="s">
        <v>47</v>
      </c>
      <c r="B108" s="24" t="s">
        <v>20</v>
      </c>
      <c r="C108" s="24">
        <v>202</v>
      </c>
      <c r="D108" s="24" t="s">
        <v>22</v>
      </c>
      <c r="E108" s="24">
        <v>26</v>
      </c>
      <c r="F108" s="24" t="s">
        <v>15</v>
      </c>
      <c r="G108" s="24" t="s">
        <v>240</v>
      </c>
      <c r="H108" s="24">
        <v>1.19</v>
      </c>
      <c r="I108" s="24">
        <v>0.39</v>
      </c>
      <c r="J108" s="24" t="s">
        <v>552</v>
      </c>
    </row>
    <row r="109" spans="1:10" ht="28.8" x14ac:dyDescent="0.3">
      <c r="A109" s="24" t="s">
        <v>47</v>
      </c>
      <c r="B109" s="24" t="s">
        <v>20</v>
      </c>
      <c r="C109" s="24">
        <v>203</v>
      </c>
      <c r="D109" s="24" t="s">
        <v>22</v>
      </c>
      <c r="E109" s="24">
        <v>27</v>
      </c>
      <c r="F109" s="24" t="s">
        <v>15</v>
      </c>
      <c r="G109" s="24" t="s">
        <v>60</v>
      </c>
      <c r="H109" s="24">
        <v>26</v>
      </c>
      <c r="I109" s="24">
        <v>27</v>
      </c>
      <c r="J109" s="24" t="s">
        <v>552</v>
      </c>
    </row>
    <row r="110" spans="1:10" ht="28.8" x14ac:dyDescent="0.3">
      <c r="A110" s="24" t="s">
        <v>47</v>
      </c>
      <c r="B110" s="24" t="s">
        <v>20</v>
      </c>
      <c r="C110" s="24">
        <v>203</v>
      </c>
      <c r="D110" s="24" t="s">
        <v>22</v>
      </c>
      <c r="E110" s="24">
        <v>27</v>
      </c>
      <c r="F110" s="24" t="s">
        <v>15</v>
      </c>
      <c r="G110" s="24" t="s">
        <v>72</v>
      </c>
      <c r="H110" s="24" t="s">
        <v>482</v>
      </c>
      <c r="I110" s="24" t="s">
        <v>481</v>
      </c>
      <c r="J110" s="24" t="s">
        <v>552</v>
      </c>
    </row>
    <row r="111" spans="1:10" ht="28.8" x14ac:dyDescent="0.3">
      <c r="A111" s="24" t="s">
        <v>47</v>
      </c>
      <c r="B111" s="24" t="s">
        <v>20</v>
      </c>
      <c r="C111" s="24">
        <v>203</v>
      </c>
      <c r="D111" s="24" t="s">
        <v>22</v>
      </c>
      <c r="E111" s="24">
        <v>27</v>
      </c>
      <c r="F111" s="24" t="s">
        <v>15</v>
      </c>
      <c r="G111" s="24" t="s">
        <v>239</v>
      </c>
      <c r="H111" s="24">
        <v>200</v>
      </c>
      <c r="I111" s="24">
        <v>125</v>
      </c>
      <c r="J111" s="24" t="s">
        <v>552</v>
      </c>
    </row>
    <row r="112" spans="1:10" ht="28.8" x14ac:dyDescent="0.3">
      <c r="A112" s="24" t="s">
        <v>47</v>
      </c>
      <c r="B112" s="24" t="s">
        <v>20</v>
      </c>
      <c r="C112" s="24">
        <v>203</v>
      </c>
      <c r="D112" s="24" t="s">
        <v>22</v>
      </c>
      <c r="E112" s="24">
        <v>27</v>
      </c>
      <c r="F112" s="24" t="s">
        <v>15</v>
      </c>
      <c r="G112" s="24" t="s">
        <v>240</v>
      </c>
      <c r="H112" s="24">
        <v>1.69</v>
      </c>
      <c r="I112" s="24">
        <v>1.19</v>
      </c>
      <c r="J112" s="24" t="s">
        <v>552</v>
      </c>
    </row>
    <row r="113" spans="1:10" ht="28.8" x14ac:dyDescent="0.3">
      <c r="A113" s="24" t="s">
        <v>47</v>
      </c>
      <c r="B113" s="24" t="s">
        <v>20</v>
      </c>
      <c r="C113" s="24">
        <v>204</v>
      </c>
      <c r="D113" s="24" t="s">
        <v>22</v>
      </c>
      <c r="E113" s="24">
        <v>28</v>
      </c>
      <c r="F113" s="24" t="s">
        <v>15</v>
      </c>
      <c r="G113" s="24" t="s">
        <v>60</v>
      </c>
      <c r="H113" s="24">
        <v>27</v>
      </c>
      <c r="I113" s="24">
        <v>28</v>
      </c>
      <c r="J113" s="24" t="s">
        <v>552</v>
      </c>
    </row>
    <row r="114" spans="1:10" ht="28.8" x14ac:dyDescent="0.3">
      <c r="A114" s="24" t="s">
        <v>47</v>
      </c>
      <c r="B114" s="24" t="s">
        <v>20</v>
      </c>
      <c r="C114" s="24">
        <v>204</v>
      </c>
      <c r="D114" s="24" t="s">
        <v>22</v>
      </c>
      <c r="E114" s="24">
        <v>28</v>
      </c>
      <c r="F114" s="24" t="s">
        <v>15</v>
      </c>
      <c r="G114" s="24" t="s">
        <v>72</v>
      </c>
      <c r="H114" s="24" t="s">
        <v>333</v>
      </c>
      <c r="I114" s="24" t="s">
        <v>482</v>
      </c>
      <c r="J114" s="24" t="s">
        <v>552</v>
      </c>
    </row>
    <row r="115" spans="1:10" ht="28.8" x14ac:dyDescent="0.3">
      <c r="A115" s="24" t="s">
        <v>47</v>
      </c>
      <c r="B115" s="24" t="s">
        <v>20</v>
      </c>
      <c r="C115" s="24">
        <v>204</v>
      </c>
      <c r="D115" s="24" t="s">
        <v>22</v>
      </c>
      <c r="E115" s="24">
        <v>28</v>
      </c>
      <c r="F115" s="24" t="s">
        <v>15</v>
      </c>
      <c r="G115" s="24" t="s">
        <v>238</v>
      </c>
      <c r="H115" s="24">
        <v>2</v>
      </c>
      <c r="I115" s="24">
        <v>1</v>
      </c>
      <c r="J115" s="24" t="s">
        <v>552</v>
      </c>
    </row>
    <row r="116" spans="1:10" ht="28.8" x14ac:dyDescent="0.3">
      <c r="A116" s="24" t="s">
        <v>47</v>
      </c>
      <c r="B116" s="24" t="s">
        <v>20</v>
      </c>
      <c r="C116" s="24">
        <v>204</v>
      </c>
      <c r="D116" s="24" t="s">
        <v>22</v>
      </c>
      <c r="E116" s="24">
        <v>28</v>
      </c>
      <c r="F116" s="24" t="s">
        <v>15</v>
      </c>
      <c r="G116" s="24" t="s">
        <v>239</v>
      </c>
      <c r="H116" s="24">
        <v>175</v>
      </c>
      <c r="I116" s="24">
        <v>200</v>
      </c>
      <c r="J116" s="24" t="s">
        <v>552</v>
      </c>
    </row>
    <row r="117" spans="1:10" ht="28.8" x14ac:dyDescent="0.3">
      <c r="A117" s="24" t="s">
        <v>47</v>
      </c>
      <c r="B117" s="24" t="s">
        <v>20</v>
      </c>
      <c r="C117" s="24">
        <v>204</v>
      </c>
      <c r="D117" s="24" t="s">
        <v>22</v>
      </c>
      <c r="E117" s="24">
        <v>28</v>
      </c>
      <c r="F117" s="24" t="s">
        <v>15</v>
      </c>
      <c r="G117" s="24" t="s">
        <v>240</v>
      </c>
      <c r="H117" s="24">
        <v>3.89</v>
      </c>
      <c r="I117" s="24">
        <v>1.69</v>
      </c>
      <c r="J117" s="24" t="s">
        <v>552</v>
      </c>
    </row>
    <row r="118" spans="1:10" ht="28.8" x14ac:dyDescent="0.3">
      <c r="A118" s="24" t="s">
        <v>47</v>
      </c>
      <c r="B118" s="24" t="s">
        <v>20</v>
      </c>
      <c r="C118" s="24">
        <v>204</v>
      </c>
      <c r="D118" s="24" t="s">
        <v>22</v>
      </c>
      <c r="E118" s="24">
        <v>28</v>
      </c>
      <c r="F118" s="24" t="s">
        <v>15</v>
      </c>
      <c r="G118" s="24" t="s">
        <v>244</v>
      </c>
      <c r="H118" s="24">
        <v>0.2</v>
      </c>
      <c r="I118" s="24"/>
      <c r="J118" s="24" t="s">
        <v>552</v>
      </c>
    </row>
    <row r="119" spans="1:10" ht="28.8" x14ac:dyDescent="0.3">
      <c r="A119" s="24" t="s">
        <v>47</v>
      </c>
      <c r="B119" s="24" t="s">
        <v>20</v>
      </c>
      <c r="C119" s="24">
        <v>205</v>
      </c>
      <c r="D119" s="24" t="s">
        <v>22</v>
      </c>
      <c r="E119" s="24">
        <v>29</v>
      </c>
      <c r="F119" s="24" t="s">
        <v>15</v>
      </c>
      <c r="G119" s="24" t="s">
        <v>60</v>
      </c>
      <c r="H119" s="24">
        <v>28</v>
      </c>
      <c r="I119" s="24">
        <v>29</v>
      </c>
      <c r="J119" s="24" t="s">
        <v>552</v>
      </c>
    </row>
    <row r="120" spans="1:10" ht="28.8" x14ac:dyDescent="0.3">
      <c r="A120" s="24" t="s">
        <v>47</v>
      </c>
      <c r="B120" s="24" t="s">
        <v>20</v>
      </c>
      <c r="C120" s="24">
        <v>205</v>
      </c>
      <c r="D120" s="24" t="s">
        <v>22</v>
      </c>
      <c r="E120" s="24">
        <v>29</v>
      </c>
      <c r="F120" s="24" t="s">
        <v>15</v>
      </c>
      <c r="G120" s="24" t="s">
        <v>72</v>
      </c>
      <c r="H120" s="24" t="s">
        <v>483</v>
      </c>
      <c r="I120" s="24" t="s">
        <v>333</v>
      </c>
      <c r="J120" s="24" t="s">
        <v>552</v>
      </c>
    </row>
    <row r="121" spans="1:10" ht="28.8" x14ac:dyDescent="0.3">
      <c r="A121" s="24" t="s">
        <v>47</v>
      </c>
      <c r="B121" s="24" t="s">
        <v>20</v>
      </c>
      <c r="C121" s="24">
        <v>205</v>
      </c>
      <c r="D121" s="24" t="s">
        <v>22</v>
      </c>
      <c r="E121" s="24">
        <v>29</v>
      </c>
      <c r="F121" s="24" t="s">
        <v>15</v>
      </c>
      <c r="G121" s="24" t="s">
        <v>238</v>
      </c>
      <c r="H121" s="24">
        <v>1</v>
      </c>
      <c r="I121" s="24">
        <v>2</v>
      </c>
      <c r="J121" s="24" t="s">
        <v>552</v>
      </c>
    </row>
    <row r="122" spans="1:10" ht="28.8" x14ac:dyDescent="0.3">
      <c r="A122" s="24" t="s">
        <v>47</v>
      </c>
      <c r="B122" s="24" t="s">
        <v>20</v>
      </c>
      <c r="C122" s="24">
        <v>205</v>
      </c>
      <c r="D122" s="24" t="s">
        <v>22</v>
      </c>
      <c r="E122" s="24">
        <v>29</v>
      </c>
      <c r="F122" s="24" t="s">
        <v>15</v>
      </c>
      <c r="G122" s="24" t="s">
        <v>239</v>
      </c>
      <c r="H122" s="24">
        <v>150</v>
      </c>
      <c r="I122" s="24">
        <v>175</v>
      </c>
      <c r="J122" s="24" t="s">
        <v>552</v>
      </c>
    </row>
    <row r="123" spans="1:10" ht="28.8" x14ac:dyDescent="0.3">
      <c r="A123" s="24" t="s">
        <v>47</v>
      </c>
      <c r="B123" s="24" t="s">
        <v>20</v>
      </c>
      <c r="C123" s="24">
        <v>205</v>
      </c>
      <c r="D123" s="24" t="s">
        <v>22</v>
      </c>
      <c r="E123" s="24">
        <v>29</v>
      </c>
      <c r="F123" s="24" t="s">
        <v>15</v>
      </c>
      <c r="G123" s="24" t="s">
        <v>240</v>
      </c>
      <c r="H123" s="24">
        <v>2.79</v>
      </c>
      <c r="I123" s="24">
        <v>3.89</v>
      </c>
      <c r="J123" s="24" t="s">
        <v>552</v>
      </c>
    </row>
    <row r="124" spans="1:10" ht="28.8" x14ac:dyDescent="0.3">
      <c r="A124" s="24" t="s">
        <v>47</v>
      </c>
      <c r="B124" s="24" t="s">
        <v>20</v>
      </c>
      <c r="C124" s="24">
        <v>205</v>
      </c>
      <c r="D124" s="24" t="s">
        <v>22</v>
      </c>
      <c r="E124" s="24">
        <v>29</v>
      </c>
      <c r="F124" s="24" t="s">
        <v>15</v>
      </c>
      <c r="G124" s="24" t="s">
        <v>244</v>
      </c>
      <c r="H124" s="24"/>
      <c r="I124" s="24">
        <v>0.2</v>
      </c>
      <c r="J124" s="24" t="s">
        <v>552</v>
      </c>
    </row>
    <row r="125" spans="1:10" ht="28.8" x14ac:dyDescent="0.3">
      <c r="A125" s="24" t="s">
        <v>47</v>
      </c>
      <c r="B125" s="24" t="s">
        <v>20</v>
      </c>
      <c r="C125" s="24">
        <v>206</v>
      </c>
      <c r="D125" s="24" t="s">
        <v>22</v>
      </c>
      <c r="E125" s="24">
        <v>30</v>
      </c>
      <c r="F125" s="24" t="s">
        <v>15</v>
      </c>
      <c r="G125" s="24" t="s">
        <v>60</v>
      </c>
      <c r="H125" s="24">
        <v>29</v>
      </c>
      <c r="I125" s="24">
        <v>30</v>
      </c>
      <c r="J125" s="24" t="s">
        <v>552</v>
      </c>
    </row>
    <row r="126" spans="1:10" ht="28.8" x14ac:dyDescent="0.3">
      <c r="A126" s="24" t="s">
        <v>47</v>
      </c>
      <c r="B126" s="24" t="s">
        <v>20</v>
      </c>
      <c r="C126" s="24">
        <v>206</v>
      </c>
      <c r="D126" s="24" t="s">
        <v>22</v>
      </c>
      <c r="E126" s="24">
        <v>30</v>
      </c>
      <c r="F126" s="24" t="s">
        <v>15</v>
      </c>
      <c r="G126" s="24" t="s">
        <v>72</v>
      </c>
      <c r="H126" s="24" t="s">
        <v>484</v>
      </c>
      <c r="I126" s="24" t="s">
        <v>483</v>
      </c>
      <c r="J126" s="24" t="s">
        <v>552</v>
      </c>
    </row>
    <row r="127" spans="1:10" ht="28.8" x14ac:dyDescent="0.3">
      <c r="A127" s="24" t="s">
        <v>47</v>
      </c>
      <c r="B127" s="24" t="s">
        <v>20</v>
      </c>
      <c r="C127" s="24">
        <v>206</v>
      </c>
      <c r="D127" s="24" t="s">
        <v>22</v>
      </c>
      <c r="E127" s="24">
        <v>30</v>
      </c>
      <c r="F127" s="24" t="s">
        <v>15</v>
      </c>
      <c r="G127" s="24" t="s">
        <v>239</v>
      </c>
      <c r="H127" s="24">
        <v>500</v>
      </c>
      <c r="I127" s="24">
        <v>150</v>
      </c>
      <c r="J127" s="24" t="s">
        <v>552</v>
      </c>
    </row>
    <row r="128" spans="1:10" ht="28.8" x14ac:dyDescent="0.3">
      <c r="A128" s="24" t="s">
        <v>47</v>
      </c>
      <c r="B128" s="24" t="s">
        <v>20</v>
      </c>
      <c r="C128" s="24">
        <v>206</v>
      </c>
      <c r="D128" s="24" t="s">
        <v>22</v>
      </c>
      <c r="E128" s="24">
        <v>30</v>
      </c>
      <c r="F128" s="24" t="s">
        <v>15</v>
      </c>
      <c r="G128" s="24" t="s">
        <v>240</v>
      </c>
      <c r="H128" s="24">
        <v>1.39</v>
      </c>
      <c r="I128" s="24">
        <v>2.79</v>
      </c>
      <c r="J128" s="24" t="s">
        <v>552</v>
      </c>
    </row>
    <row r="129" spans="1:10" ht="28.8" x14ac:dyDescent="0.3">
      <c r="A129" s="24" t="s">
        <v>47</v>
      </c>
      <c r="B129" s="24" t="s">
        <v>20</v>
      </c>
      <c r="C129" s="24">
        <v>207</v>
      </c>
      <c r="D129" s="24" t="s">
        <v>22</v>
      </c>
      <c r="E129" s="24">
        <v>31</v>
      </c>
      <c r="F129" s="24" t="s">
        <v>15</v>
      </c>
      <c r="G129" s="24" t="s">
        <v>60</v>
      </c>
      <c r="H129" s="24">
        <v>30</v>
      </c>
      <c r="I129" s="24">
        <v>31</v>
      </c>
      <c r="J129" s="24" t="s">
        <v>552</v>
      </c>
    </row>
    <row r="130" spans="1:10" ht="28.8" x14ac:dyDescent="0.3">
      <c r="A130" s="24" t="s">
        <v>47</v>
      </c>
      <c r="B130" s="24" t="s">
        <v>20</v>
      </c>
      <c r="C130" s="24">
        <v>207</v>
      </c>
      <c r="D130" s="24" t="s">
        <v>22</v>
      </c>
      <c r="E130" s="24">
        <v>31</v>
      </c>
      <c r="F130" s="24" t="s">
        <v>15</v>
      </c>
      <c r="G130" s="24" t="s">
        <v>72</v>
      </c>
      <c r="H130" s="24" t="s">
        <v>485</v>
      </c>
      <c r="I130" s="24" t="s">
        <v>484</v>
      </c>
      <c r="J130" s="24" t="s">
        <v>552</v>
      </c>
    </row>
    <row r="131" spans="1:10" ht="28.8" x14ac:dyDescent="0.3">
      <c r="A131" s="24" t="s">
        <v>47</v>
      </c>
      <c r="B131" s="24" t="s">
        <v>20</v>
      </c>
      <c r="C131" s="24">
        <v>207</v>
      </c>
      <c r="D131" s="24" t="s">
        <v>22</v>
      </c>
      <c r="E131" s="24">
        <v>31</v>
      </c>
      <c r="F131" s="24" t="s">
        <v>15</v>
      </c>
      <c r="G131" s="24" t="s">
        <v>239</v>
      </c>
      <c r="H131" s="24">
        <v>400</v>
      </c>
      <c r="I131" s="24">
        <v>500</v>
      </c>
      <c r="J131" s="24" t="s">
        <v>552</v>
      </c>
    </row>
    <row r="132" spans="1:10" ht="28.8" x14ac:dyDescent="0.3">
      <c r="A132" s="24" t="s">
        <v>47</v>
      </c>
      <c r="B132" s="24" t="s">
        <v>20</v>
      </c>
      <c r="C132" s="24">
        <v>207</v>
      </c>
      <c r="D132" s="24" t="s">
        <v>22</v>
      </c>
      <c r="E132" s="24">
        <v>31</v>
      </c>
      <c r="F132" s="24" t="s">
        <v>15</v>
      </c>
      <c r="G132" s="24" t="s">
        <v>240</v>
      </c>
      <c r="H132" s="24">
        <v>2.4900000000000002</v>
      </c>
      <c r="I132" s="24">
        <v>1.39</v>
      </c>
      <c r="J132" s="24" t="s">
        <v>552</v>
      </c>
    </row>
    <row r="133" spans="1:10" ht="28.8" x14ac:dyDescent="0.3">
      <c r="A133" s="24" t="s">
        <v>47</v>
      </c>
      <c r="B133" s="24" t="s">
        <v>20</v>
      </c>
      <c r="C133" s="24">
        <v>208</v>
      </c>
      <c r="D133" s="24" t="s">
        <v>22</v>
      </c>
      <c r="E133" s="24">
        <v>32</v>
      </c>
      <c r="F133" s="24" t="s">
        <v>15</v>
      </c>
      <c r="G133" s="24" t="s">
        <v>60</v>
      </c>
      <c r="H133" s="24">
        <v>31</v>
      </c>
      <c r="I133" s="24">
        <v>32</v>
      </c>
      <c r="J133" s="24" t="s">
        <v>552</v>
      </c>
    </row>
    <row r="134" spans="1:10" ht="28.8" x14ac:dyDescent="0.3">
      <c r="A134" s="24" t="s">
        <v>47</v>
      </c>
      <c r="B134" s="24" t="s">
        <v>20</v>
      </c>
      <c r="C134" s="24">
        <v>208</v>
      </c>
      <c r="D134" s="24" t="s">
        <v>22</v>
      </c>
      <c r="E134" s="24">
        <v>32</v>
      </c>
      <c r="F134" s="24" t="s">
        <v>15</v>
      </c>
      <c r="G134" s="24" t="s">
        <v>72</v>
      </c>
      <c r="H134" s="24" t="s">
        <v>486</v>
      </c>
      <c r="I134" s="24" t="s">
        <v>485</v>
      </c>
      <c r="J134" s="24" t="s">
        <v>552</v>
      </c>
    </row>
    <row r="135" spans="1:10" ht="28.8" x14ac:dyDescent="0.3">
      <c r="A135" s="24" t="s">
        <v>47</v>
      </c>
      <c r="B135" s="24" t="s">
        <v>20</v>
      </c>
      <c r="C135" s="24">
        <v>208</v>
      </c>
      <c r="D135" s="24" t="s">
        <v>22</v>
      </c>
      <c r="E135" s="24">
        <v>32</v>
      </c>
      <c r="F135" s="24" t="s">
        <v>15</v>
      </c>
      <c r="G135" s="24" t="s">
        <v>239</v>
      </c>
      <c r="H135" s="24">
        <v>200</v>
      </c>
      <c r="I135" s="24">
        <v>400</v>
      </c>
      <c r="J135" s="24" t="s">
        <v>552</v>
      </c>
    </row>
    <row r="136" spans="1:10" ht="28.8" x14ac:dyDescent="0.3">
      <c r="A136" s="24" t="s">
        <v>47</v>
      </c>
      <c r="B136" s="24" t="s">
        <v>20</v>
      </c>
      <c r="C136" s="24">
        <v>208</v>
      </c>
      <c r="D136" s="24" t="s">
        <v>22</v>
      </c>
      <c r="E136" s="24">
        <v>32</v>
      </c>
      <c r="F136" s="24" t="s">
        <v>15</v>
      </c>
      <c r="G136" s="24" t="s">
        <v>240</v>
      </c>
      <c r="H136" s="24">
        <v>1.69</v>
      </c>
      <c r="I136" s="24">
        <v>2.4900000000000002</v>
      </c>
      <c r="J136" s="24" t="s">
        <v>552</v>
      </c>
    </row>
    <row r="137" spans="1:10" ht="28.8" x14ac:dyDescent="0.3">
      <c r="A137" s="24" t="s">
        <v>47</v>
      </c>
      <c r="B137" s="24" t="s">
        <v>20</v>
      </c>
      <c r="C137" s="24">
        <v>209</v>
      </c>
      <c r="D137" s="24" t="s">
        <v>22</v>
      </c>
      <c r="E137" s="24">
        <v>33</v>
      </c>
      <c r="F137" s="24" t="s">
        <v>15</v>
      </c>
      <c r="G137" s="24" t="s">
        <v>60</v>
      </c>
      <c r="H137" s="24">
        <v>32</v>
      </c>
      <c r="I137" s="24">
        <v>33</v>
      </c>
      <c r="J137" s="24" t="s">
        <v>552</v>
      </c>
    </row>
    <row r="138" spans="1:10" ht="28.8" x14ac:dyDescent="0.3">
      <c r="A138" s="24" t="s">
        <v>47</v>
      </c>
      <c r="B138" s="24" t="s">
        <v>20</v>
      </c>
      <c r="C138" s="24">
        <v>209</v>
      </c>
      <c r="D138" s="24" t="s">
        <v>22</v>
      </c>
      <c r="E138" s="24">
        <v>33</v>
      </c>
      <c r="F138" s="24" t="s">
        <v>15</v>
      </c>
      <c r="G138" s="24" t="s">
        <v>72</v>
      </c>
      <c r="H138" s="24" t="s">
        <v>487</v>
      </c>
      <c r="I138" s="24" t="s">
        <v>486</v>
      </c>
      <c r="J138" s="24" t="s">
        <v>552</v>
      </c>
    </row>
    <row r="139" spans="1:10" ht="28.8" x14ac:dyDescent="0.3">
      <c r="A139" s="24" t="s">
        <v>47</v>
      </c>
      <c r="B139" s="24" t="s">
        <v>20</v>
      </c>
      <c r="C139" s="24">
        <v>209</v>
      </c>
      <c r="D139" s="24" t="s">
        <v>22</v>
      </c>
      <c r="E139" s="24">
        <v>33</v>
      </c>
      <c r="F139" s="24" t="s">
        <v>15</v>
      </c>
      <c r="G139" s="24" t="s">
        <v>239</v>
      </c>
      <c r="H139" s="24">
        <v>400</v>
      </c>
      <c r="I139" s="24">
        <v>200</v>
      </c>
      <c r="J139" s="24" t="s">
        <v>552</v>
      </c>
    </row>
    <row r="140" spans="1:10" ht="28.8" x14ac:dyDescent="0.3">
      <c r="A140" s="24" t="s">
        <v>47</v>
      </c>
      <c r="B140" s="24" t="s">
        <v>20</v>
      </c>
      <c r="C140" s="24">
        <v>209</v>
      </c>
      <c r="D140" s="24" t="s">
        <v>22</v>
      </c>
      <c r="E140" s="24">
        <v>33</v>
      </c>
      <c r="F140" s="24" t="s">
        <v>15</v>
      </c>
      <c r="G140" s="24" t="s">
        <v>240</v>
      </c>
      <c r="H140" s="24">
        <v>3.49</v>
      </c>
      <c r="I140" s="24">
        <v>1.69</v>
      </c>
      <c r="J140" s="24" t="s">
        <v>552</v>
      </c>
    </row>
    <row r="141" spans="1:10" ht="28.8" x14ac:dyDescent="0.3">
      <c r="A141" s="24" t="s">
        <v>47</v>
      </c>
      <c r="B141" s="24" t="s">
        <v>20</v>
      </c>
      <c r="C141" s="24">
        <v>210</v>
      </c>
      <c r="D141" s="24" t="s">
        <v>22</v>
      </c>
      <c r="E141" s="24">
        <v>34</v>
      </c>
      <c r="F141" s="24" t="s">
        <v>15</v>
      </c>
      <c r="G141" s="24" t="s">
        <v>60</v>
      </c>
      <c r="H141" s="24">
        <v>33</v>
      </c>
      <c r="I141" s="24">
        <v>34</v>
      </c>
      <c r="J141" s="24" t="s">
        <v>552</v>
      </c>
    </row>
    <row r="142" spans="1:10" ht="28.8" x14ac:dyDescent="0.3">
      <c r="A142" s="24" t="s">
        <v>47</v>
      </c>
      <c r="B142" s="24" t="s">
        <v>20</v>
      </c>
      <c r="C142" s="24">
        <v>210</v>
      </c>
      <c r="D142" s="24" t="s">
        <v>22</v>
      </c>
      <c r="E142" s="24">
        <v>34</v>
      </c>
      <c r="F142" s="24" t="s">
        <v>15</v>
      </c>
      <c r="G142" s="24" t="s">
        <v>72</v>
      </c>
      <c r="H142" s="24" t="s">
        <v>488</v>
      </c>
      <c r="I142" s="24" t="s">
        <v>487</v>
      </c>
      <c r="J142" s="24" t="s">
        <v>552</v>
      </c>
    </row>
    <row r="143" spans="1:10" ht="28.8" x14ac:dyDescent="0.3">
      <c r="A143" s="24" t="s">
        <v>47</v>
      </c>
      <c r="B143" s="24" t="s">
        <v>20</v>
      </c>
      <c r="C143" s="24">
        <v>210</v>
      </c>
      <c r="D143" s="24" t="s">
        <v>22</v>
      </c>
      <c r="E143" s="24">
        <v>34</v>
      </c>
      <c r="F143" s="24" t="s">
        <v>15</v>
      </c>
      <c r="G143" s="24" t="s">
        <v>239</v>
      </c>
      <c r="H143" s="24">
        <v>100</v>
      </c>
      <c r="I143" s="24">
        <v>400</v>
      </c>
      <c r="J143" s="24" t="s">
        <v>552</v>
      </c>
    </row>
    <row r="144" spans="1:10" ht="28.8" x14ac:dyDescent="0.3">
      <c r="A144" s="24" t="s">
        <v>47</v>
      </c>
      <c r="B144" s="24" t="s">
        <v>20</v>
      </c>
      <c r="C144" s="24">
        <v>210</v>
      </c>
      <c r="D144" s="24" t="s">
        <v>22</v>
      </c>
      <c r="E144" s="24">
        <v>34</v>
      </c>
      <c r="F144" s="24" t="s">
        <v>15</v>
      </c>
      <c r="G144" s="24" t="s">
        <v>240</v>
      </c>
      <c r="H144" s="24">
        <v>0</v>
      </c>
      <c r="I144" s="24">
        <v>3.49</v>
      </c>
      <c r="J144" s="24" t="s">
        <v>552</v>
      </c>
    </row>
    <row r="145" spans="1:10" ht="28.8" x14ac:dyDescent="0.3">
      <c r="A145" s="24" t="s">
        <v>47</v>
      </c>
      <c r="B145" s="24" t="s">
        <v>20</v>
      </c>
      <c r="C145" s="24">
        <v>211</v>
      </c>
      <c r="D145" s="24" t="s">
        <v>22</v>
      </c>
      <c r="E145" s="24">
        <v>35</v>
      </c>
      <c r="F145" s="24" t="s">
        <v>15</v>
      </c>
      <c r="G145" s="24" t="s">
        <v>60</v>
      </c>
      <c r="H145" s="24">
        <v>34</v>
      </c>
      <c r="I145" s="24">
        <v>35</v>
      </c>
      <c r="J145" s="24" t="s">
        <v>552</v>
      </c>
    </row>
    <row r="146" spans="1:10" ht="28.8" x14ac:dyDescent="0.3">
      <c r="A146" s="24" t="s">
        <v>47</v>
      </c>
      <c r="B146" s="24" t="s">
        <v>20</v>
      </c>
      <c r="C146" s="24">
        <v>211</v>
      </c>
      <c r="D146" s="24" t="s">
        <v>22</v>
      </c>
      <c r="E146" s="24">
        <v>35</v>
      </c>
      <c r="F146" s="24" t="s">
        <v>15</v>
      </c>
      <c r="G146" s="24" t="s">
        <v>72</v>
      </c>
      <c r="H146" s="24" t="s">
        <v>489</v>
      </c>
      <c r="I146" s="24" t="s">
        <v>488</v>
      </c>
      <c r="J146" s="24" t="s">
        <v>552</v>
      </c>
    </row>
    <row r="147" spans="1:10" ht="28.8" x14ac:dyDescent="0.3">
      <c r="A147" s="24" t="s">
        <v>47</v>
      </c>
      <c r="B147" s="24" t="s">
        <v>20</v>
      </c>
      <c r="C147" s="24">
        <v>211</v>
      </c>
      <c r="D147" s="24" t="s">
        <v>22</v>
      </c>
      <c r="E147" s="24">
        <v>35</v>
      </c>
      <c r="F147" s="24" t="s">
        <v>15</v>
      </c>
      <c r="G147" s="24" t="s">
        <v>239</v>
      </c>
      <c r="H147" s="24" t="s">
        <v>490</v>
      </c>
      <c r="I147" s="24">
        <v>100</v>
      </c>
      <c r="J147" s="24" t="s">
        <v>552</v>
      </c>
    </row>
    <row r="148" spans="1:10" ht="28.8" x14ac:dyDescent="0.3">
      <c r="A148" s="24" t="s">
        <v>47</v>
      </c>
      <c r="B148" s="24" t="s">
        <v>20</v>
      </c>
      <c r="C148" s="24">
        <v>211</v>
      </c>
      <c r="D148" s="24" t="s">
        <v>22</v>
      </c>
      <c r="E148" s="24">
        <v>35</v>
      </c>
      <c r="F148" s="24" t="s">
        <v>15</v>
      </c>
      <c r="G148" s="24" t="s">
        <v>240</v>
      </c>
      <c r="H148" s="24">
        <v>5.58</v>
      </c>
      <c r="I148" s="24">
        <v>0</v>
      </c>
      <c r="J148" s="24" t="s">
        <v>552</v>
      </c>
    </row>
    <row r="149" spans="1:10" ht="28.8" x14ac:dyDescent="0.3">
      <c r="A149" s="24" t="s">
        <v>47</v>
      </c>
      <c r="B149" s="24" t="s">
        <v>20</v>
      </c>
      <c r="C149" s="24">
        <v>211</v>
      </c>
      <c r="D149" s="24" t="s">
        <v>22</v>
      </c>
      <c r="E149" s="24">
        <v>35</v>
      </c>
      <c r="F149" s="24" t="s">
        <v>15</v>
      </c>
      <c r="G149" s="24" t="s">
        <v>244</v>
      </c>
      <c r="H149" s="24">
        <v>1.08</v>
      </c>
      <c r="I149" s="24"/>
      <c r="J149" s="24" t="s">
        <v>552</v>
      </c>
    </row>
    <row r="150" spans="1:10" ht="28.8" x14ac:dyDescent="0.3">
      <c r="A150" s="24" t="s">
        <v>47</v>
      </c>
      <c r="B150" s="24" t="s">
        <v>20</v>
      </c>
      <c r="C150" s="24">
        <v>212</v>
      </c>
      <c r="D150" s="24" t="s">
        <v>22</v>
      </c>
      <c r="E150" s="24">
        <v>36</v>
      </c>
      <c r="F150" s="24" t="s">
        <v>15</v>
      </c>
      <c r="G150" s="24" t="s">
        <v>60</v>
      </c>
      <c r="H150" s="24">
        <v>35</v>
      </c>
      <c r="I150" s="24">
        <v>36</v>
      </c>
      <c r="J150" s="24" t="s">
        <v>552</v>
      </c>
    </row>
    <row r="151" spans="1:10" ht="28.8" x14ac:dyDescent="0.3">
      <c r="A151" s="24" t="s">
        <v>47</v>
      </c>
      <c r="B151" s="24" t="s">
        <v>20</v>
      </c>
      <c r="C151" s="24">
        <v>212</v>
      </c>
      <c r="D151" s="24" t="s">
        <v>22</v>
      </c>
      <c r="E151" s="24">
        <v>36</v>
      </c>
      <c r="F151" s="24" t="s">
        <v>15</v>
      </c>
      <c r="G151" s="24" t="s">
        <v>72</v>
      </c>
      <c r="H151" s="24" t="s">
        <v>491</v>
      </c>
      <c r="I151" s="24" t="s">
        <v>489</v>
      </c>
      <c r="J151" s="24" t="s">
        <v>552</v>
      </c>
    </row>
    <row r="152" spans="1:10" ht="28.8" x14ac:dyDescent="0.3">
      <c r="A152" s="24" t="s">
        <v>47</v>
      </c>
      <c r="B152" s="24" t="s">
        <v>20</v>
      </c>
      <c r="C152" s="24">
        <v>212</v>
      </c>
      <c r="D152" s="24" t="s">
        <v>22</v>
      </c>
      <c r="E152" s="24">
        <v>36</v>
      </c>
      <c r="F152" s="24" t="s">
        <v>15</v>
      </c>
      <c r="G152" s="24" t="s">
        <v>239</v>
      </c>
      <c r="H152" s="24">
        <v>420</v>
      </c>
      <c r="I152" s="24" t="s">
        <v>490</v>
      </c>
      <c r="J152" s="24" t="s">
        <v>552</v>
      </c>
    </row>
    <row r="153" spans="1:10" ht="28.8" x14ac:dyDescent="0.3">
      <c r="A153" s="24" t="s">
        <v>47</v>
      </c>
      <c r="B153" s="24" t="s">
        <v>20</v>
      </c>
      <c r="C153" s="24">
        <v>212</v>
      </c>
      <c r="D153" s="24" t="s">
        <v>22</v>
      </c>
      <c r="E153" s="24">
        <v>36</v>
      </c>
      <c r="F153" s="24" t="s">
        <v>15</v>
      </c>
      <c r="G153" s="24" t="s">
        <v>240</v>
      </c>
      <c r="H153" s="24">
        <v>7.49</v>
      </c>
      <c r="I153" s="24">
        <v>5.58</v>
      </c>
      <c r="J153" s="24" t="s">
        <v>552</v>
      </c>
    </row>
    <row r="154" spans="1:10" ht="28.8" x14ac:dyDescent="0.3">
      <c r="A154" s="24" t="s">
        <v>47</v>
      </c>
      <c r="B154" s="24" t="s">
        <v>20</v>
      </c>
      <c r="C154" s="24">
        <v>212</v>
      </c>
      <c r="D154" s="24" t="s">
        <v>22</v>
      </c>
      <c r="E154" s="24">
        <v>36</v>
      </c>
      <c r="F154" s="24" t="s">
        <v>15</v>
      </c>
      <c r="G154" s="24" t="s">
        <v>244</v>
      </c>
      <c r="H154" s="24">
        <v>0.5</v>
      </c>
      <c r="I154" s="24">
        <v>1.08</v>
      </c>
      <c r="J154" s="24" t="s">
        <v>552</v>
      </c>
    </row>
    <row r="155" spans="1:10" ht="28.8" x14ac:dyDescent="0.3">
      <c r="A155" s="24" t="s">
        <v>47</v>
      </c>
      <c r="B155" s="24" t="s">
        <v>20</v>
      </c>
      <c r="C155" s="24">
        <v>213</v>
      </c>
      <c r="D155" s="24" t="s">
        <v>22</v>
      </c>
      <c r="E155" s="24">
        <v>37</v>
      </c>
      <c r="F155" s="24" t="s">
        <v>15</v>
      </c>
      <c r="G155" s="24" t="s">
        <v>60</v>
      </c>
      <c r="H155" s="24">
        <v>36</v>
      </c>
      <c r="I155" s="24">
        <v>37</v>
      </c>
      <c r="J155" s="24" t="s">
        <v>552</v>
      </c>
    </row>
    <row r="156" spans="1:10" ht="28.8" x14ac:dyDescent="0.3">
      <c r="A156" s="24" t="s">
        <v>47</v>
      </c>
      <c r="B156" s="24" t="s">
        <v>20</v>
      </c>
      <c r="C156" s="24">
        <v>213</v>
      </c>
      <c r="D156" s="24" t="s">
        <v>22</v>
      </c>
      <c r="E156" s="24">
        <v>37</v>
      </c>
      <c r="F156" s="24" t="s">
        <v>15</v>
      </c>
      <c r="G156" s="24" t="s">
        <v>72</v>
      </c>
      <c r="H156" s="24" t="s">
        <v>492</v>
      </c>
      <c r="I156" s="24" t="s">
        <v>491</v>
      </c>
      <c r="J156" s="24" t="s">
        <v>552</v>
      </c>
    </row>
    <row r="157" spans="1:10" ht="28.8" x14ac:dyDescent="0.3">
      <c r="A157" s="24" t="s">
        <v>47</v>
      </c>
      <c r="B157" s="24" t="s">
        <v>20</v>
      </c>
      <c r="C157" s="24">
        <v>213</v>
      </c>
      <c r="D157" s="24" t="s">
        <v>22</v>
      </c>
      <c r="E157" s="24">
        <v>37</v>
      </c>
      <c r="F157" s="24" t="s">
        <v>15</v>
      </c>
      <c r="G157" s="24" t="s">
        <v>238</v>
      </c>
      <c r="H157" s="24">
        <v>2</v>
      </c>
      <c r="I157" s="24">
        <v>1</v>
      </c>
      <c r="J157" s="24" t="s">
        <v>552</v>
      </c>
    </row>
    <row r="158" spans="1:10" ht="28.8" x14ac:dyDescent="0.3">
      <c r="A158" s="24" t="s">
        <v>47</v>
      </c>
      <c r="B158" s="24" t="s">
        <v>20</v>
      </c>
      <c r="C158" s="24">
        <v>213</v>
      </c>
      <c r="D158" s="24" t="s">
        <v>22</v>
      </c>
      <c r="E158" s="24">
        <v>37</v>
      </c>
      <c r="F158" s="24" t="s">
        <v>15</v>
      </c>
      <c r="G158" s="24" t="s">
        <v>239</v>
      </c>
      <c r="H158" s="24">
        <v>170</v>
      </c>
      <c r="I158" s="24">
        <v>420</v>
      </c>
      <c r="J158" s="24" t="s">
        <v>552</v>
      </c>
    </row>
    <row r="159" spans="1:10" ht="28.8" x14ac:dyDescent="0.3">
      <c r="A159" s="24" t="s">
        <v>47</v>
      </c>
      <c r="B159" s="24" t="s">
        <v>20</v>
      </c>
      <c r="C159" s="24">
        <v>213</v>
      </c>
      <c r="D159" s="24" t="s">
        <v>22</v>
      </c>
      <c r="E159" s="24">
        <v>37</v>
      </c>
      <c r="F159" s="24" t="s">
        <v>15</v>
      </c>
      <c r="G159" s="24" t="s">
        <v>240</v>
      </c>
      <c r="H159" s="24">
        <v>1.89</v>
      </c>
      <c r="I159" s="24">
        <v>7.49</v>
      </c>
      <c r="J159" s="24" t="s">
        <v>552</v>
      </c>
    </row>
    <row r="160" spans="1:10" ht="28.8" x14ac:dyDescent="0.3">
      <c r="A160" s="24" t="s">
        <v>47</v>
      </c>
      <c r="B160" s="24" t="s">
        <v>20</v>
      </c>
      <c r="C160" s="24">
        <v>213</v>
      </c>
      <c r="D160" s="24" t="s">
        <v>22</v>
      </c>
      <c r="E160" s="24">
        <v>37</v>
      </c>
      <c r="F160" s="24" t="s">
        <v>15</v>
      </c>
      <c r="G160" s="24" t="s">
        <v>244</v>
      </c>
      <c r="H160" s="24">
        <v>1.78</v>
      </c>
      <c r="I160" s="24">
        <v>0.5</v>
      </c>
      <c r="J160" s="24" t="s">
        <v>552</v>
      </c>
    </row>
    <row r="161" spans="1:10" ht="28.8" x14ac:dyDescent="0.3">
      <c r="A161" s="24" t="s">
        <v>47</v>
      </c>
      <c r="B161" s="24" t="s">
        <v>20</v>
      </c>
      <c r="C161" s="24">
        <v>214</v>
      </c>
      <c r="D161" s="24" t="s">
        <v>22</v>
      </c>
      <c r="E161" s="24">
        <v>38</v>
      </c>
      <c r="F161" s="24" t="s">
        <v>15</v>
      </c>
      <c r="G161" s="24" t="s">
        <v>60</v>
      </c>
      <c r="H161" s="24">
        <v>37</v>
      </c>
      <c r="I161" s="24">
        <v>38</v>
      </c>
      <c r="J161" s="24" t="s">
        <v>552</v>
      </c>
    </row>
    <row r="162" spans="1:10" ht="28.8" x14ac:dyDescent="0.3">
      <c r="A162" s="24" t="s">
        <v>47</v>
      </c>
      <c r="B162" s="24" t="s">
        <v>20</v>
      </c>
      <c r="C162" s="24">
        <v>214</v>
      </c>
      <c r="D162" s="24" t="s">
        <v>22</v>
      </c>
      <c r="E162" s="24">
        <v>38</v>
      </c>
      <c r="F162" s="24" t="s">
        <v>15</v>
      </c>
      <c r="G162" s="24" t="s">
        <v>72</v>
      </c>
      <c r="H162" s="24" t="s">
        <v>493</v>
      </c>
      <c r="I162" s="24" t="s">
        <v>492</v>
      </c>
      <c r="J162" s="24" t="s">
        <v>552</v>
      </c>
    </row>
    <row r="163" spans="1:10" ht="28.8" x14ac:dyDescent="0.3">
      <c r="A163" s="24" t="s">
        <v>47</v>
      </c>
      <c r="B163" s="24" t="s">
        <v>20</v>
      </c>
      <c r="C163" s="24">
        <v>214</v>
      </c>
      <c r="D163" s="24" t="s">
        <v>22</v>
      </c>
      <c r="E163" s="24">
        <v>38</v>
      </c>
      <c r="F163" s="24" t="s">
        <v>15</v>
      </c>
      <c r="G163" s="24" t="s">
        <v>238</v>
      </c>
      <c r="H163" s="24">
        <v>1</v>
      </c>
      <c r="I163" s="24">
        <v>2</v>
      </c>
      <c r="J163" s="24" t="s">
        <v>552</v>
      </c>
    </row>
    <row r="164" spans="1:10" ht="28.8" x14ac:dyDescent="0.3">
      <c r="A164" s="24" t="s">
        <v>47</v>
      </c>
      <c r="B164" s="24" t="s">
        <v>20</v>
      </c>
      <c r="C164" s="24">
        <v>214</v>
      </c>
      <c r="D164" s="24" t="s">
        <v>22</v>
      </c>
      <c r="E164" s="24">
        <v>38</v>
      </c>
      <c r="F164" s="24" t="s">
        <v>15</v>
      </c>
      <c r="G164" s="24" t="s">
        <v>239</v>
      </c>
      <c r="H164" s="24">
        <v>75</v>
      </c>
      <c r="I164" s="24">
        <v>170</v>
      </c>
      <c r="J164" s="24" t="s">
        <v>552</v>
      </c>
    </row>
    <row r="165" spans="1:10" ht="28.8" x14ac:dyDescent="0.3">
      <c r="A165" s="24" t="s">
        <v>47</v>
      </c>
      <c r="B165" s="24" t="s">
        <v>20</v>
      </c>
      <c r="C165" s="24">
        <v>214</v>
      </c>
      <c r="D165" s="24" t="s">
        <v>22</v>
      </c>
      <c r="E165" s="24">
        <v>38</v>
      </c>
      <c r="F165" s="24" t="s">
        <v>15</v>
      </c>
      <c r="G165" s="24" t="s">
        <v>240</v>
      </c>
      <c r="H165" s="24">
        <v>0</v>
      </c>
      <c r="I165" s="24">
        <v>1.89</v>
      </c>
      <c r="J165" s="24" t="s">
        <v>552</v>
      </c>
    </row>
    <row r="166" spans="1:10" ht="28.8" x14ac:dyDescent="0.3">
      <c r="A166" s="24" t="s">
        <v>47</v>
      </c>
      <c r="B166" s="24" t="s">
        <v>20</v>
      </c>
      <c r="C166" s="24">
        <v>214</v>
      </c>
      <c r="D166" s="24" t="s">
        <v>22</v>
      </c>
      <c r="E166" s="24">
        <v>38</v>
      </c>
      <c r="F166" s="24" t="s">
        <v>15</v>
      </c>
      <c r="G166" s="24" t="s">
        <v>244</v>
      </c>
      <c r="H166" s="24"/>
      <c r="I166" s="24">
        <v>1.78</v>
      </c>
      <c r="J166" s="24" t="s">
        <v>552</v>
      </c>
    </row>
    <row r="167" spans="1:10" ht="28.8" x14ac:dyDescent="0.3">
      <c r="A167" s="24" t="s">
        <v>47</v>
      </c>
      <c r="B167" s="24" t="s">
        <v>20</v>
      </c>
      <c r="C167" s="24">
        <v>215</v>
      </c>
      <c r="D167" s="24" t="s">
        <v>22</v>
      </c>
      <c r="E167" s="24">
        <v>39</v>
      </c>
      <c r="F167" s="24" t="s">
        <v>15</v>
      </c>
      <c r="G167" s="24" t="s">
        <v>60</v>
      </c>
      <c r="H167" s="24">
        <v>38</v>
      </c>
      <c r="I167" s="24">
        <v>39</v>
      </c>
      <c r="J167" s="24" t="s">
        <v>552</v>
      </c>
    </row>
    <row r="168" spans="1:10" ht="28.8" x14ac:dyDescent="0.3">
      <c r="A168" s="24" t="s">
        <v>47</v>
      </c>
      <c r="B168" s="24" t="s">
        <v>20</v>
      </c>
      <c r="C168" s="24">
        <v>215</v>
      </c>
      <c r="D168" s="24" t="s">
        <v>22</v>
      </c>
      <c r="E168" s="24">
        <v>39</v>
      </c>
      <c r="F168" s="24" t="s">
        <v>15</v>
      </c>
      <c r="G168" s="24" t="s">
        <v>72</v>
      </c>
      <c r="H168" s="24" t="s">
        <v>495</v>
      </c>
      <c r="I168" s="24" t="s">
        <v>493</v>
      </c>
      <c r="J168" s="24" t="s">
        <v>552</v>
      </c>
    </row>
    <row r="169" spans="1:10" ht="28.8" x14ac:dyDescent="0.3">
      <c r="A169" s="24" t="s">
        <v>47</v>
      </c>
      <c r="B169" s="24" t="s">
        <v>20</v>
      </c>
      <c r="C169" s="24">
        <v>215</v>
      </c>
      <c r="D169" s="24" t="s">
        <v>22</v>
      </c>
      <c r="E169" s="24">
        <v>39</v>
      </c>
      <c r="F169" s="24" t="s">
        <v>15</v>
      </c>
      <c r="G169" s="24" t="s">
        <v>238</v>
      </c>
      <c r="H169" s="24">
        <v>2</v>
      </c>
      <c r="I169" s="24">
        <v>1</v>
      </c>
      <c r="J169" s="24" t="s">
        <v>552</v>
      </c>
    </row>
    <row r="170" spans="1:10" ht="28.8" x14ac:dyDescent="0.3">
      <c r="A170" s="24" t="s">
        <v>47</v>
      </c>
      <c r="B170" s="24" t="s">
        <v>20</v>
      </c>
      <c r="C170" s="24">
        <v>215</v>
      </c>
      <c r="D170" s="24" t="s">
        <v>22</v>
      </c>
      <c r="E170" s="24">
        <v>39</v>
      </c>
      <c r="F170" s="24" t="s">
        <v>15</v>
      </c>
      <c r="G170" s="24" t="s">
        <v>240</v>
      </c>
      <c r="H170" s="24">
        <v>1.55</v>
      </c>
      <c r="I170" s="24">
        <v>0</v>
      </c>
      <c r="J170" s="24" t="s">
        <v>552</v>
      </c>
    </row>
    <row r="171" spans="1:10" ht="28.8" x14ac:dyDescent="0.3">
      <c r="A171" s="24" t="s">
        <v>47</v>
      </c>
      <c r="B171" s="24" t="s">
        <v>20</v>
      </c>
      <c r="C171" s="24">
        <v>215</v>
      </c>
      <c r="D171" s="24" t="s">
        <v>22</v>
      </c>
      <c r="E171" s="24">
        <v>39</v>
      </c>
      <c r="F171" s="24" t="s">
        <v>15</v>
      </c>
      <c r="G171" s="24" t="s">
        <v>244</v>
      </c>
      <c r="H171" s="24">
        <v>0.6</v>
      </c>
      <c r="I171" s="24"/>
      <c r="J171" s="24" t="s">
        <v>552</v>
      </c>
    </row>
    <row r="172" spans="1:10" ht="28.8" x14ac:dyDescent="0.3">
      <c r="A172" s="24" t="s">
        <v>47</v>
      </c>
      <c r="B172" s="24" t="s">
        <v>20</v>
      </c>
      <c r="C172" s="24">
        <v>216</v>
      </c>
      <c r="D172" s="24" t="s">
        <v>22</v>
      </c>
      <c r="E172" s="24">
        <v>40</v>
      </c>
      <c r="F172" s="24" t="s">
        <v>15</v>
      </c>
      <c r="G172" s="24" t="s">
        <v>3</v>
      </c>
      <c r="H172" s="24"/>
      <c r="I172" s="24" t="s">
        <v>22</v>
      </c>
      <c r="J172" s="24" t="s">
        <v>552</v>
      </c>
    </row>
    <row r="173" spans="1:10" ht="28.8" x14ac:dyDescent="0.3">
      <c r="A173" s="24" t="s">
        <v>47</v>
      </c>
      <c r="B173" s="24" t="s">
        <v>20</v>
      </c>
      <c r="C173" s="24">
        <v>216</v>
      </c>
      <c r="D173" s="24" t="s">
        <v>22</v>
      </c>
      <c r="E173" s="24">
        <v>40</v>
      </c>
      <c r="F173" s="24" t="s">
        <v>15</v>
      </c>
      <c r="G173" s="24" t="s">
        <v>1</v>
      </c>
      <c r="H173" s="24"/>
      <c r="I173" s="24" t="s">
        <v>20</v>
      </c>
      <c r="J173" s="24" t="s">
        <v>552</v>
      </c>
    </row>
    <row r="174" spans="1:10" ht="28.8" x14ac:dyDescent="0.3">
      <c r="A174" s="24" t="s">
        <v>47</v>
      </c>
      <c r="B174" s="24" t="s">
        <v>20</v>
      </c>
      <c r="C174" s="24">
        <v>216</v>
      </c>
      <c r="D174" s="24" t="s">
        <v>22</v>
      </c>
      <c r="E174" s="24">
        <v>40</v>
      </c>
      <c r="F174" s="24" t="s">
        <v>15</v>
      </c>
      <c r="G174" s="24" t="s">
        <v>60</v>
      </c>
      <c r="H174" s="24"/>
      <c r="I174" s="24">
        <v>40</v>
      </c>
      <c r="J174" s="24" t="s">
        <v>552</v>
      </c>
    </row>
    <row r="175" spans="1:10" ht="28.8" x14ac:dyDescent="0.3">
      <c r="A175" s="24" t="s">
        <v>47</v>
      </c>
      <c r="B175" s="24" t="s">
        <v>20</v>
      </c>
      <c r="C175" s="24">
        <v>216</v>
      </c>
      <c r="D175" s="24" t="s">
        <v>22</v>
      </c>
      <c r="E175" s="24">
        <v>40</v>
      </c>
      <c r="F175" s="24" t="s">
        <v>15</v>
      </c>
      <c r="G175" s="24" t="s">
        <v>72</v>
      </c>
      <c r="H175" s="24"/>
      <c r="I175" s="24" t="s">
        <v>494</v>
      </c>
      <c r="J175" s="24" t="s">
        <v>552</v>
      </c>
    </row>
    <row r="176" spans="1:10" ht="28.8" x14ac:dyDescent="0.3">
      <c r="A176" s="24" t="s">
        <v>47</v>
      </c>
      <c r="B176" s="24" t="s">
        <v>20</v>
      </c>
      <c r="C176" s="24">
        <v>216</v>
      </c>
      <c r="D176" s="24" t="s">
        <v>22</v>
      </c>
      <c r="E176" s="24">
        <v>40</v>
      </c>
      <c r="F176" s="24" t="s">
        <v>15</v>
      </c>
      <c r="G176" s="24" t="s">
        <v>238</v>
      </c>
      <c r="H176" s="24"/>
      <c r="I176" s="24">
        <v>1</v>
      </c>
      <c r="J176" s="24" t="s">
        <v>552</v>
      </c>
    </row>
    <row r="177" spans="1:10" ht="28.8" x14ac:dyDescent="0.3">
      <c r="A177" s="24" t="s">
        <v>47</v>
      </c>
      <c r="B177" s="24" t="s">
        <v>20</v>
      </c>
      <c r="C177" s="24">
        <v>216</v>
      </c>
      <c r="D177" s="24" t="s">
        <v>22</v>
      </c>
      <c r="E177" s="24">
        <v>40</v>
      </c>
      <c r="F177" s="24" t="s">
        <v>15</v>
      </c>
      <c r="G177" s="24" t="s">
        <v>239</v>
      </c>
      <c r="H177" s="24"/>
      <c r="I177" s="24">
        <v>75</v>
      </c>
      <c r="J177" s="24" t="s">
        <v>552</v>
      </c>
    </row>
    <row r="178" spans="1:10" ht="28.8" x14ac:dyDescent="0.3">
      <c r="A178" s="24" t="s">
        <v>47</v>
      </c>
      <c r="B178" s="24" t="s">
        <v>20</v>
      </c>
      <c r="C178" s="24">
        <v>216</v>
      </c>
      <c r="D178" s="24" t="s">
        <v>22</v>
      </c>
      <c r="E178" s="24">
        <v>40</v>
      </c>
      <c r="F178" s="24" t="s">
        <v>15</v>
      </c>
      <c r="G178" s="24" t="s">
        <v>240</v>
      </c>
      <c r="H178" s="24"/>
      <c r="I178" s="24">
        <v>3.2</v>
      </c>
      <c r="J178" s="24" t="s">
        <v>552</v>
      </c>
    </row>
    <row r="179" spans="1:10" ht="28.8" x14ac:dyDescent="0.3">
      <c r="A179" s="24" t="s">
        <v>47</v>
      </c>
      <c r="B179" s="24" t="s">
        <v>20</v>
      </c>
      <c r="C179" s="24">
        <v>216</v>
      </c>
      <c r="D179" s="24" t="s">
        <v>22</v>
      </c>
      <c r="E179" s="24">
        <v>40</v>
      </c>
      <c r="F179" s="24" t="s">
        <v>15</v>
      </c>
      <c r="G179" s="24" t="s">
        <v>241</v>
      </c>
      <c r="H179" s="24"/>
      <c r="I179" s="24">
        <f>tbl_ReceiptLines[[#This Row],[Quantity]]*tbl_ReceiptLines[[#This Row],[Unit_Price]]</f>
        <v>10.29</v>
      </c>
      <c r="J179" s="24" t="s">
        <v>552</v>
      </c>
    </row>
    <row r="180" spans="1:10" ht="28.8" x14ac:dyDescent="0.3">
      <c r="A180" s="24" t="s">
        <v>47</v>
      </c>
      <c r="B180" s="24" t="s">
        <v>20</v>
      </c>
      <c r="C180" s="24">
        <v>216</v>
      </c>
      <c r="D180" s="24" t="s">
        <v>22</v>
      </c>
      <c r="E180" s="24">
        <v>40</v>
      </c>
      <c r="F180" s="24" t="s">
        <v>15</v>
      </c>
      <c r="G180" s="24" t="s">
        <v>244</v>
      </c>
      <c r="H180" s="24"/>
      <c r="I180" s="24">
        <v>0.7</v>
      </c>
      <c r="J180" s="24" t="s">
        <v>552</v>
      </c>
    </row>
    <row r="181" spans="1:10" ht="28.8" x14ac:dyDescent="0.3">
      <c r="A181" s="24" t="s">
        <v>47</v>
      </c>
      <c r="B181" s="24" t="s">
        <v>20</v>
      </c>
      <c r="C181" s="24">
        <v>216</v>
      </c>
      <c r="D181" s="24" t="s">
        <v>22</v>
      </c>
      <c r="E181" s="24">
        <v>40</v>
      </c>
      <c r="F181" s="24" t="s">
        <v>15</v>
      </c>
      <c r="G181" s="24" t="s">
        <v>245</v>
      </c>
      <c r="H181" s="24"/>
      <c r="I181" s="24">
        <f>tbl_ReceiptLines[[#This Row],[Line_Total]]-tbl_ReceiptLines[[#This Row],[Discount_Info]]</f>
        <v>2.79</v>
      </c>
      <c r="J181" s="24" t="s">
        <v>552</v>
      </c>
    </row>
    <row r="182" spans="1:10" ht="28.8" x14ac:dyDescent="0.3">
      <c r="A182" s="24" t="s">
        <v>47</v>
      </c>
      <c r="B182" s="24" t="s">
        <v>20</v>
      </c>
      <c r="C182" s="24">
        <v>217</v>
      </c>
      <c r="D182" s="24" t="s">
        <v>22</v>
      </c>
      <c r="E182" s="24">
        <v>41</v>
      </c>
      <c r="F182" s="24" t="s">
        <v>15</v>
      </c>
      <c r="G182" s="24" t="s">
        <v>3</v>
      </c>
      <c r="H182" s="24"/>
      <c r="I182" s="24" t="s">
        <v>22</v>
      </c>
      <c r="J182" s="24" t="s">
        <v>552</v>
      </c>
    </row>
    <row r="183" spans="1:10" ht="28.8" x14ac:dyDescent="0.3">
      <c r="A183" s="24" t="s">
        <v>47</v>
      </c>
      <c r="B183" s="24" t="s">
        <v>20</v>
      </c>
      <c r="C183" s="24">
        <v>217</v>
      </c>
      <c r="D183" s="24" t="s">
        <v>22</v>
      </c>
      <c r="E183" s="24">
        <v>41</v>
      </c>
      <c r="F183" s="24" t="s">
        <v>15</v>
      </c>
      <c r="G183" s="24" t="s">
        <v>1</v>
      </c>
      <c r="H183" s="24"/>
      <c r="I183" s="24" t="s">
        <v>20</v>
      </c>
      <c r="J183" s="24" t="s">
        <v>552</v>
      </c>
    </row>
    <row r="184" spans="1:10" ht="28.8" x14ac:dyDescent="0.3">
      <c r="A184" s="24" t="s">
        <v>47</v>
      </c>
      <c r="B184" s="24" t="s">
        <v>20</v>
      </c>
      <c r="C184" s="24">
        <v>217</v>
      </c>
      <c r="D184" s="24" t="s">
        <v>22</v>
      </c>
      <c r="E184" s="24">
        <v>41</v>
      </c>
      <c r="F184" s="24" t="s">
        <v>15</v>
      </c>
      <c r="G184" s="24" t="s">
        <v>60</v>
      </c>
      <c r="H184" s="24"/>
      <c r="I184" s="24">
        <v>41</v>
      </c>
      <c r="J184" s="24" t="s">
        <v>552</v>
      </c>
    </row>
    <row r="185" spans="1:10" ht="28.8" x14ac:dyDescent="0.3">
      <c r="A185" s="24" t="s">
        <v>47</v>
      </c>
      <c r="B185" s="24" t="s">
        <v>20</v>
      </c>
      <c r="C185" s="24">
        <v>217</v>
      </c>
      <c r="D185" s="24" t="s">
        <v>22</v>
      </c>
      <c r="E185" s="24">
        <v>41</v>
      </c>
      <c r="F185" s="24" t="s">
        <v>15</v>
      </c>
      <c r="G185" s="24" t="s">
        <v>72</v>
      </c>
      <c r="H185" s="24"/>
      <c r="I185" s="24" t="s">
        <v>495</v>
      </c>
      <c r="J185" s="24" t="s">
        <v>552</v>
      </c>
    </row>
    <row r="186" spans="1:10" ht="28.8" x14ac:dyDescent="0.3">
      <c r="A186" s="24" t="s">
        <v>47</v>
      </c>
      <c r="B186" s="24" t="s">
        <v>20</v>
      </c>
      <c r="C186" s="24">
        <v>217</v>
      </c>
      <c r="D186" s="24" t="s">
        <v>22</v>
      </c>
      <c r="E186" s="24">
        <v>41</v>
      </c>
      <c r="F186" s="24" t="s">
        <v>15</v>
      </c>
      <c r="G186" s="24" t="s">
        <v>238</v>
      </c>
      <c r="H186" s="24"/>
      <c r="I186" s="24">
        <v>2</v>
      </c>
      <c r="J186" s="24" t="s">
        <v>552</v>
      </c>
    </row>
    <row r="187" spans="1:10" ht="28.8" x14ac:dyDescent="0.3">
      <c r="A187" s="24" t="s">
        <v>47</v>
      </c>
      <c r="B187" s="24" t="s">
        <v>20</v>
      </c>
      <c r="C187" s="24">
        <v>217</v>
      </c>
      <c r="D187" s="24" t="s">
        <v>22</v>
      </c>
      <c r="E187" s="24">
        <v>41</v>
      </c>
      <c r="F187" s="24" t="s">
        <v>15</v>
      </c>
      <c r="G187" s="24" t="s">
        <v>239</v>
      </c>
      <c r="H187" s="24"/>
      <c r="I187" s="24">
        <v>75</v>
      </c>
      <c r="J187" s="24" t="s">
        <v>552</v>
      </c>
    </row>
    <row r="188" spans="1:10" ht="28.8" x14ac:dyDescent="0.3">
      <c r="A188" s="24" t="s">
        <v>47</v>
      </c>
      <c r="B188" s="24" t="s">
        <v>20</v>
      </c>
      <c r="C188" s="24">
        <v>217</v>
      </c>
      <c r="D188" s="24" t="s">
        <v>22</v>
      </c>
      <c r="E188" s="24">
        <v>41</v>
      </c>
      <c r="F188" s="24" t="s">
        <v>15</v>
      </c>
      <c r="G188" s="24" t="s">
        <v>240</v>
      </c>
      <c r="H188" s="24"/>
      <c r="I188" s="24">
        <v>1.55</v>
      </c>
      <c r="J188" s="24" t="s">
        <v>552</v>
      </c>
    </row>
    <row r="189" spans="1:10" ht="28.8" x14ac:dyDescent="0.3">
      <c r="A189" s="24" t="s">
        <v>47</v>
      </c>
      <c r="B189" s="24" t="s">
        <v>20</v>
      </c>
      <c r="C189" s="24">
        <v>217</v>
      </c>
      <c r="D189" s="24" t="s">
        <v>22</v>
      </c>
      <c r="E189" s="24">
        <v>41</v>
      </c>
      <c r="F189" s="24" t="s">
        <v>15</v>
      </c>
      <c r="G189" s="24" t="s">
        <v>241</v>
      </c>
      <c r="H189" s="24"/>
      <c r="I189" s="24">
        <f>tbl_ReceiptLines[[#This Row],[Quantity]]*tbl_ReceiptLines[[#This Row],[Unit_Price]]</f>
        <v>2.69</v>
      </c>
      <c r="J189" s="24" t="s">
        <v>552</v>
      </c>
    </row>
    <row r="190" spans="1:10" ht="28.8" x14ac:dyDescent="0.3">
      <c r="A190" s="24" t="s">
        <v>47</v>
      </c>
      <c r="B190" s="24" t="s">
        <v>20</v>
      </c>
      <c r="C190" s="24">
        <v>217</v>
      </c>
      <c r="D190" s="24" t="s">
        <v>22</v>
      </c>
      <c r="E190" s="24">
        <v>41</v>
      </c>
      <c r="F190" s="24" t="s">
        <v>15</v>
      </c>
      <c r="G190" s="24" t="s">
        <v>243</v>
      </c>
      <c r="H190" s="24"/>
      <c r="I190" s="24">
        <f>tbl_ReceiptLines[[#This Row],[Line_Total]]-tbl_ReceiptLines[[#This Row],[Discount_Info]]</f>
        <v>2.69</v>
      </c>
      <c r="J190" s="24" t="s">
        <v>552</v>
      </c>
    </row>
    <row r="191" spans="1:10" ht="28.8" x14ac:dyDescent="0.3">
      <c r="A191" s="24" t="s">
        <v>47</v>
      </c>
      <c r="B191" s="24" t="s">
        <v>20</v>
      </c>
      <c r="C191" s="24">
        <v>217</v>
      </c>
      <c r="D191" s="24" t="s">
        <v>22</v>
      </c>
      <c r="E191" s="24">
        <v>41</v>
      </c>
      <c r="F191" s="24" t="s">
        <v>15</v>
      </c>
      <c r="G191" s="24" t="s">
        <v>244</v>
      </c>
      <c r="H191" s="24"/>
      <c r="I191" s="24">
        <v>0.6</v>
      </c>
      <c r="J191" s="24" t="s">
        <v>552</v>
      </c>
    </row>
    <row r="192" spans="1:10" ht="28.8" x14ac:dyDescent="0.3">
      <c r="A192" s="24" t="s">
        <v>47</v>
      </c>
      <c r="B192" s="24" t="s">
        <v>20</v>
      </c>
      <c r="C192" s="24">
        <v>217</v>
      </c>
      <c r="D192" s="24" t="s">
        <v>22</v>
      </c>
      <c r="E192" s="24">
        <v>41</v>
      </c>
      <c r="F192" s="24" t="s">
        <v>15</v>
      </c>
      <c r="G192" s="24" t="s">
        <v>245</v>
      </c>
      <c r="H192" s="24"/>
      <c r="I192" s="24">
        <f>tbl_ReceiptLines[[#This Row],[Line_Total]]-tbl_ReceiptLines[[#This Row],[Discount_Info]]</f>
        <v>1.65</v>
      </c>
      <c r="J192" s="24" t="s">
        <v>552</v>
      </c>
    </row>
    <row r="193" spans="1:10" x14ac:dyDescent="0.3">
      <c r="A193" s="24" t="s">
        <v>47</v>
      </c>
      <c r="B193" s="24" t="s">
        <v>20</v>
      </c>
      <c r="C193" s="24">
        <v>183</v>
      </c>
      <c r="D193" s="24" t="s">
        <v>22</v>
      </c>
      <c r="E193" s="24">
        <v>7</v>
      </c>
      <c r="F193" s="24" t="s">
        <v>50</v>
      </c>
      <c r="G193" s="24" t="s">
        <v>51</v>
      </c>
      <c r="H193" s="24"/>
      <c r="I193" s="24" t="s">
        <v>320</v>
      </c>
      <c r="J193" s="24" t="s">
        <v>555</v>
      </c>
    </row>
    <row r="194" spans="1:10" x14ac:dyDescent="0.3">
      <c r="A194" s="24" t="s">
        <v>47</v>
      </c>
      <c r="B194" s="24" t="s">
        <v>20</v>
      </c>
      <c r="C194" s="24">
        <v>216</v>
      </c>
      <c r="D194" s="24" t="s">
        <v>22</v>
      </c>
      <c r="E194" s="24">
        <v>40</v>
      </c>
      <c r="F194" s="24" t="s">
        <v>50</v>
      </c>
      <c r="G194" s="24" t="s">
        <v>51</v>
      </c>
      <c r="H194" s="24"/>
      <c r="I194" s="24" t="s">
        <v>494</v>
      </c>
      <c r="J194" s="24" t="s">
        <v>555</v>
      </c>
    </row>
    <row r="195" spans="1:10" x14ac:dyDescent="0.3">
      <c r="A195" s="24" t="s">
        <v>47</v>
      </c>
      <c r="B195" s="24" t="s">
        <v>40</v>
      </c>
      <c r="C195" s="24">
        <v>291</v>
      </c>
      <c r="D195" s="24" t="s">
        <v>42</v>
      </c>
      <c r="E195" s="24">
        <v>27</v>
      </c>
      <c r="F195" s="24" t="s">
        <v>15</v>
      </c>
      <c r="G195" s="24" t="s">
        <v>72</v>
      </c>
      <c r="H195" s="24" t="s">
        <v>73</v>
      </c>
      <c r="I195" s="24" t="s">
        <v>74</v>
      </c>
      <c r="J195" s="24" t="s">
        <v>556</v>
      </c>
    </row>
    <row r="196" spans="1:10" x14ac:dyDescent="0.3">
      <c r="A196" s="24" t="s">
        <v>47</v>
      </c>
      <c r="B196" s="24" t="s">
        <v>33</v>
      </c>
      <c r="C196" s="24">
        <v>237</v>
      </c>
      <c r="D196" s="24" t="s">
        <v>35</v>
      </c>
      <c r="E196" s="24">
        <v>20</v>
      </c>
      <c r="F196" s="24" t="s">
        <v>15</v>
      </c>
      <c r="G196" s="24" t="s">
        <v>72</v>
      </c>
      <c r="H196" s="24" t="s">
        <v>554</v>
      </c>
      <c r="I196" s="24" t="s">
        <v>479</v>
      </c>
      <c r="J196" s="24" t="s">
        <v>557</v>
      </c>
    </row>
    <row r="197" spans="1:10" x14ac:dyDescent="0.3">
      <c r="A197" s="24" t="s">
        <v>47</v>
      </c>
      <c r="B197" s="24" t="s">
        <v>33</v>
      </c>
      <c r="C197" s="24">
        <v>246</v>
      </c>
      <c r="D197" s="24" t="s">
        <v>35</v>
      </c>
      <c r="E197" s="24">
        <v>29</v>
      </c>
      <c r="F197" s="24" t="s">
        <v>15</v>
      </c>
      <c r="G197" s="24" t="s">
        <v>72</v>
      </c>
      <c r="H197" s="24" t="s">
        <v>558</v>
      </c>
      <c r="I197" s="24" t="s">
        <v>509</v>
      </c>
      <c r="J197" s="24" t="s">
        <v>557</v>
      </c>
    </row>
    <row r="198" spans="1:10" x14ac:dyDescent="0.3">
      <c r="A198" s="24" t="s">
        <v>47</v>
      </c>
      <c r="B198" s="24" t="s">
        <v>33</v>
      </c>
      <c r="C198" s="24">
        <v>256</v>
      </c>
      <c r="D198" s="24" t="s">
        <v>35</v>
      </c>
      <c r="E198" s="24">
        <v>39</v>
      </c>
      <c r="F198" s="24" t="s">
        <v>15</v>
      </c>
      <c r="G198" s="24" t="s">
        <v>72</v>
      </c>
      <c r="H198" s="24" t="s">
        <v>559</v>
      </c>
      <c r="I198" s="24" t="s">
        <v>515</v>
      </c>
      <c r="J198" s="24" t="s">
        <v>557</v>
      </c>
    </row>
    <row r="199" spans="1:10" x14ac:dyDescent="0.3">
      <c r="A199" s="24" t="s">
        <v>47</v>
      </c>
      <c r="B199" s="24" t="s">
        <v>33</v>
      </c>
      <c r="C199" s="24">
        <v>257</v>
      </c>
      <c r="D199" s="24" t="s">
        <v>35</v>
      </c>
      <c r="E199" s="24">
        <v>40</v>
      </c>
      <c r="F199" s="24" t="s">
        <v>15</v>
      </c>
      <c r="G199" s="24" t="s">
        <v>72</v>
      </c>
      <c r="H199" s="24" t="s">
        <v>560</v>
      </c>
      <c r="I199" s="24" t="s">
        <v>516</v>
      </c>
      <c r="J199" s="24" t="s">
        <v>557</v>
      </c>
    </row>
    <row r="200" spans="1:10" x14ac:dyDescent="0.3">
      <c r="A200" s="24" t="s">
        <v>47</v>
      </c>
      <c r="B200" s="24" t="s">
        <v>40</v>
      </c>
      <c r="C200" s="24">
        <v>279</v>
      </c>
      <c r="D200" s="24" t="s">
        <v>42</v>
      </c>
      <c r="E200" s="24">
        <v>15</v>
      </c>
      <c r="F200" s="24" t="s">
        <v>15</v>
      </c>
      <c r="G200" s="24" t="s">
        <v>72</v>
      </c>
      <c r="H200" s="24" t="s">
        <v>561</v>
      </c>
      <c r="I200" s="24" t="s">
        <v>300</v>
      </c>
      <c r="J200" s="24" t="s">
        <v>557</v>
      </c>
    </row>
    <row r="201" spans="1:10" x14ac:dyDescent="0.3">
      <c r="A201" s="24" t="s">
        <v>47</v>
      </c>
      <c r="B201" s="24" t="s">
        <v>40</v>
      </c>
      <c r="C201" s="24">
        <v>287</v>
      </c>
      <c r="D201" s="24" t="s">
        <v>42</v>
      </c>
      <c r="E201" s="24">
        <v>23</v>
      </c>
      <c r="F201" s="24" t="s">
        <v>15</v>
      </c>
      <c r="G201" s="24" t="s">
        <v>72</v>
      </c>
      <c r="H201" s="24" t="s">
        <v>562</v>
      </c>
      <c r="I201" s="24" t="s">
        <v>530</v>
      </c>
      <c r="J201" s="24" t="s">
        <v>557</v>
      </c>
    </row>
    <row r="202" spans="1:10" x14ac:dyDescent="0.3">
      <c r="A202" s="24" t="s">
        <v>47</v>
      </c>
      <c r="B202" s="24" t="s">
        <v>40</v>
      </c>
      <c r="C202" s="24">
        <v>301</v>
      </c>
      <c r="D202" s="24" t="s">
        <v>42</v>
      </c>
      <c r="E202" s="24">
        <v>37</v>
      </c>
      <c r="F202" s="24" t="s">
        <v>15</v>
      </c>
      <c r="G202" s="24" t="s">
        <v>72</v>
      </c>
      <c r="H202" s="24" t="s">
        <v>563</v>
      </c>
      <c r="I202" s="24" t="s">
        <v>541</v>
      </c>
      <c r="J202" s="24" t="s">
        <v>557</v>
      </c>
    </row>
  </sheetData>
  <autoFilter ref="A1:J20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Wijzigingen_PO</vt:lpstr>
      <vt:lpstr>Receipts</vt:lpstr>
      <vt:lpstr>Receipt_Lines</vt:lpstr>
      <vt:lpstr>Wijzigingen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Michiel Uijting</cp:lastModifiedBy>
  <dcterms:created xsi:type="dcterms:W3CDTF">2026-04-06T07:45:26Z</dcterms:created>
  <dcterms:modified xsi:type="dcterms:W3CDTF">2026-06-05T18:50:10Z</dcterms:modified>
</cp:coreProperties>
</file>